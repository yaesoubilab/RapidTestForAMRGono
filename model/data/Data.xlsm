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17FB7AB8-B5C4-4C21-98F6-BD95DA63E518}" xr6:coauthVersionLast="45" xr6:coauthVersionMax="47" xr10:uidLastSave="{00000000-0000-0000-0000-000000000000}"/>
  <bookViews>
    <workbookView xWindow="-20617" yWindow="2228" windowWidth="20715" windowHeight="13275" xr2:uid="{AC5A884F-CD4B-4221-999D-895041B6D12D}"/>
  </bookViews>
  <sheets>
    <sheet name="Test" sheetId="4" r:id="rId1"/>
    <sheet name="Resistance Profile" sheetId="1" r:id="rId2"/>
    <sheet name="Popula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4" l="1"/>
  <c r="K7" i="4"/>
  <c r="L5" i="4"/>
  <c r="K5" i="4"/>
  <c r="G6" i="4"/>
  <c r="G7" i="4"/>
  <c r="F6" i="4"/>
  <c r="F7" i="4"/>
  <c r="F8" i="4"/>
  <c r="G8" i="4" s="1"/>
  <c r="F5" i="4"/>
  <c r="G5" i="4" s="1"/>
  <c r="H5" i="4" s="1"/>
  <c r="I5" i="4" s="1"/>
  <c r="H7" i="4" l="1"/>
  <c r="I7" i="4" s="1"/>
  <c r="R30" i="1"/>
  <c r="R31" i="1"/>
  <c r="R32" i="1"/>
  <c r="R33" i="1"/>
  <c r="R34" i="1"/>
  <c r="R35" i="1"/>
  <c r="R36" i="1"/>
  <c r="R29" i="1"/>
  <c r="P29" i="1"/>
  <c r="P30" i="1"/>
  <c r="P31" i="1"/>
  <c r="P32" i="1"/>
  <c r="P33" i="1"/>
  <c r="P34" i="1"/>
  <c r="P35" i="1"/>
  <c r="P36" i="1"/>
  <c r="N29" i="1"/>
  <c r="H40" i="1"/>
  <c r="O24" i="1"/>
  <c r="M24" i="1"/>
  <c r="K24" i="1"/>
  <c r="I24" i="1"/>
  <c r="G24" i="1"/>
  <c r="C24" i="1"/>
  <c r="E24" i="1"/>
  <c r="K31" i="1"/>
  <c r="K32" i="1"/>
  <c r="K33" i="1"/>
  <c r="K34" i="1"/>
  <c r="K35" i="1"/>
  <c r="K36" i="1"/>
  <c r="K29" i="1"/>
  <c r="K30" i="1"/>
  <c r="C28" i="3"/>
  <c r="E32" i="1"/>
  <c r="F32" i="1" s="1"/>
  <c r="E34" i="1"/>
  <c r="F34" i="1" s="1"/>
  <c r="J32" i="1" l="1"/>
  <c r="L32" i="1" s="1"/>
  <c r="J34" i="1"/>
  <c r="L34" i="1" s="1"/>
  <c r="H34" i="1"/>
  <c r="I34" i="1" s="1"/>
  <c r="H32" i="1"/>
  <c r="I32" i="1" s="1"/>
  <c r="K25" i="1"/>
  <c r="E33" i="1" s="1"/>
  <c r="F33" i="1" s="1"/>
  <c r="G25" i="1"/>
  <c r="E31" i="1" s="1"/>
  <c r="F31" i="1" s="1"/>
  <c r="M25" i="1"/>
  <c r="E35" i="1" s="1"/>
  <c r="F35" i="1" s="1"/>
  <c r="E25" i="1"/>
  <c r="E29" i="1" s="1"/>
  <c r="I25" i="1"/>
  <c r="E30" i="1" s="1"/>
  <c r="F30" i="1" s="1"/>
  <c r="O25" i="1"/>
  <c r="E36" i="1" s="1"/>
  <c r="F36" i="1" s="1"/>
  <c r="M32" i="1" l="1"/>
  <c r="N32" i="1" s="1"/>
  <c r="J30" i="1"/>
  <c r="M30" i="1" s="1"/>
  <c r="H30" i="1"/>
  <c r="I30" i="1" s="1"/>
  <c r="H31" i="1"/>
  <c r="I31" i="1" s="1"/>
  <c r="J31" i="1"/>
  <c r="L31" i="1" s="1"/>
  <c r="H33" i="1"/>
  <c r="I33" i="1" s="1"/>
  <c r="J33" i="1"/>
  <c r="L33" i="1" s="1"/>
  <c r="M34" i="1"/>
  <c r="N34" i="1" s="1"/>
  <c r="H35" i="1"/>
  <c r="I35" i="1" s="1"/>
  <c r="J35" i="1"/>
  <c r="L35" i="1" s="1"/>
  <c r="M31" i="1"/>
  <c r="H36" i="1"/>
  <c r="I36" i="1" s="1"/>
  <c r="J36" i="1"/>
  <c r="M36" i="1" s="1"/>
  <c r="F29" i="1"/>
  <c r="H29" i="1" s="1"/>
  <c r="M35" i="1" l="1"/>
  <c r="M33" i="1"/>
  <c r="N33" i="1" s="1"/>
  <c r="N31" i="1"/>
  <c r="J29" i="1"/>
  <c r="M29" i="1" s="1"/>
  <c r="I29" i="1"/>
  <c r="N35" i="1"/>
  <c r="L30" i="1"/>
  <c r="N30" i="1" s="1"/>
  <c r="L36" i="1"/>
  <c r="N36" i="1" s="1"/>
  <c r="L29" i="1" l="1"/>
</calcChain>
</file>

<file path=xl/sharedStrings.xml><?xml version="1.0" encoding="utf-8"?>
<sst xmlns="http://schemas.openxmlformats.org/spreadsheetml/2006/main" count="92" uniqueCount="60">
  <si>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</si>
  <si>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</si>
  <si>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</si>
  <si>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</si>
  <si>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</si>
  <si>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</si>
  <si>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</si>
  <si>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</si>
  <si>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</si>
  <si>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</si>
  <si>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</si>
  <si>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</si>
  <si>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</si>
  <si>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</si>
  <si>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</si>
  <si>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</si>
  <si>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</si>
  <si>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</si>
  <si>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</si>
  <si>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</si>
  <si>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</si>
  <si>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</si>
  <si>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</si>
  <si>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</si>
  <si>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</si>
  <si>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</si>
  <si>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</si>
  <si>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</si>
  <si>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</si>
  <si>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</si>
  <si>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</si>
  <si>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</si>
  <si>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</si>
  <si>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</si>
  <si>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</si>
  <si>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</si>
  <si>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</si>
  <si>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</si>
  <si>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</si>
  <si>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</si>
  <si>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</si>
  <si>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</si>
  <si>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</si>
  <si>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</si>
  <si>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</si>
  <si>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</si>
  <si>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</si>
  <si>
    <t>N</t>
  </si>
  <si>
    <t>St-Err</t>
  </si>
  <si>
    <t>t</t>
  </si>
  <si>
    <t>N to PyCharm</t>
  </si>
  <si>
    <t>PyCharm</t>
  </si>
  <si>
    <t>Word</t>
  </si>
  <si>
    <t>Sensitivity</t>
  </si>
  <si>
    <t>Specificity</t>
  </si>
  <si>
    <t>Global</t>
  </si>
  <si>
    <t>Validation</t>
  </si>
  <si>
    <t>Ave</t>
  </si>
  <si>
    <t>StDev</t>
  </si>
  <si>
    <t>https://pubmed.ncbi.nlm.nih.gov/35544098/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</si>
</sst>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9" fontId="0" fillId="0" borderId="0" xfId="0" applyNumberFormat="1" applyAlignment="1">
      <alignment horizontal="center"/>
    </xf>
    <xf numFmtId="0" fontId="0" fillId="0" borderId="1" xfId="0" applyBorder="1"/>
    <xf numFmtId="0" fontId="0" fillId="3" borderId="2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3" xfId="0" applyNumberFormat="1" applyFill="1" applyBorder="1"/>
    <xf numFmtId="0" fontId="0" fillId="3" borderId="4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5" xfId="0" applyNumberForma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7" xfId="0" applyFill="1" applyBorder="1" applyAlignment="1">
      <alignment wrapText="1"/>
    </xf>
    <xf numFmtId="0" fontId="0" fillId="3" borderId="8" xfId="0" applyFill="1" applyBorder="1" applyAlignment="1">
      <alignment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9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3" fontId="0" fillId="2" borderId="1" xfId="0" applyNumberFormat="1" applyFill="1" applyBorder="1" applyAlignment="1">
      <alignment horizontal="center"/>
    </xf>
    <xf numFmtId="0" fontId="0" fillId="0" borderId="0" xfId="0" applyBorder="1" applyAlignment="1">
      <alignment wrapText="1"/>
    </xf>
    <xf numFmtId="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4" borderId="0" xfId="0" applyFont="1" applyFill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0" fillId="4" borderId="1" xfId="0" applyFill="1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10" fontId="3" fillId="0" borderId="0" xfId="1" applyNumberFormat="1" applyAlignment="1">
      <alignment horizontal="left"/>
    </xf>
    <xf numFmtId="164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ubmed.ncbi.nlm.nih.gov/35544098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6799-0C64-43F3-961D-7933F75FC9CE}">
  <dimension ref="A2:L8"/>
  <sheetViews>
    <sheetView showGridLines="0" tabSelected="1" workbookViewId="0">
      <selection activeCell="K7" sqref="K7:L7"/>
    </sheetView>
  </sheetViews>
  <sheetFormatPr defaultRowHeight="14.5" x14ac:dyDescent="0.35"/>
  <cols>
    <col min="1" max="1" width="9.08984375" bestFit="1" customWidth="1"/>
    <col min="2" max="2" width="12.26953125" customWidth="1"/>
    <col min="6" max="6" width="11.81640625" bestFit="1" customWidth="1"/>
    <col min="7" max="9" width="10.81640625" bestFit="1" customWidth="1"/>
  </cols>
  <sheetData>
    <row r="2" spans="1:12" x14ac:dyDescent="0.35">
      <c r="A2" s="47" t="s">
        <v>59</v>
      </c>
    </row>
    <row r="3" spans="1:12" x14ac:dyDescent="0.35">
      <c r="A3" s="47"/>
    </row>
    <row r="4" spans="1:12" x14ac:dyDescent="0.35">
      <c r="C4" s="45" t="s">
        <v>19</v>
      </c>
      <c r="D4" s="45" t="s">
        <v>1</v>
      </c>
      <c r="E4" s="45" t="s">
        <v>2</v>
      </c>
      <c r="G4" s="45" t="s">
        <v>47</v>
      </c>
      <c r="H4" s="45" t="s">
        <v>57</v>
      </c>
      <c r="I4" s="45" t="s">
        <v>58</v>
      </c>
      <c r="K4" s="45" t="s">
        <v>51</v>
      </c>
    </row>
    <row r="5" spans="1:12" x14ac:dyDescent="0.35">
      <c r="A5" t="s">
        <v>53</v>
      </c>
      <c r="B5" t="s">
        <v>55</v>
      </c>
      <c r="C5" s="43">
        <v>0.88700000000000001</v>
      </c>
      <c r="D5" s="43">
        <v>0.86</v>
      </c>
      <c r="E5" s="43">
        <v>0.92100000000000004</v>
      </c>
      <c r="F5" s="46">
        <f>_xlfn.NORM.INV(1-0.05/2,0,1)</f>
        <v>1.9599639845400536</v>
      </c>
      <c r="G5" s="44">
        <f>INT(POWER(F5,2)*C5*(1-C5)/POWER((E5-D5)/2,2))</f>
        <v>413</v>
      </c>
      <c r="H5" s="48">
        <f>SUMPRODUCT(C5:C6,G5:G6)/SUM(G5:G6)</f>
        <v>0.8550050505050506</v>
      </c>
      <c r="I5" s="48">
        <f>SQRT(H5*(1-H5)/SUM(G5:G6))</f>
        <v>1.4446663433824881E-2</v>
      </c>
      <c r="K5" t="str">
        <f>TEXT(H5,"#0.000")</f>
        <v>0.855</v>
      </c>
      <c r="L5" t="str">
        <f>TEXT(I5,"#0.000")</f>
        <v>0.014</v>
      </c>
    </row>
    <row r="6" spans="1:12" x14ac:dyDescent="0.35">
      <c r="B6" t="s">
        <v>56</v>
      </c>
      <c r="C6" s="43">
        <v>0.78200000000000003</v>
      </c>
      <c r="D6" s="43">
        <v>0.72199999999999998</v>
      </c>
      <c r="E6" s="43">
        <v>0.84199999999999997</v>
      </c>
      <c r="F6" s="46">
        <f t="shared" ref="F6:F8" si="0">_xlfn.NORM.INV(1-0.05/2,0,1)</f>
        <v>1.9599639845400536</v>
      </c>
      <c r="G6" s="44">
        <f t="shared" ref="G6:G8" si="1">INT(POWER(F6,2)*C6*(1-C6)/POWER((E6-D6)/2,2))</f>
        <v>181</v>
      </c>
      <c r="H6" s="44"/>
    </row>
    <row r="7" spans="1:12" x14ac:dyDescent="0.35">
      <c r="A7" t="s">
        <v>54</v>
      </c>
      <c r="B7" t="s">
        <v>55</v>
      </c>
      <c r="C7" s="43">
        <v>0.97199999999999998</v>
      </c>
      <c r="D7" s="43">
        <v>0.95599999999999996</v>
      </c>
      <c r="E7" s="43">
        <v>0.98799999999999999</v>
      </c>
      <c r="F7" s="46">
        <f t="shared" si="0"/>
        <v>1.9599639845400536</v>
      </c>
      <c r="G7" s="44">
        <f t="shared" si="1"/>
        <v>408</v>
      </c>
      <c r="H7" s="48">
        <f>SUMPRODUCT(C7:C8,G7:G8)/SUM(G7:G8)</f>
        <v>0.96493208828522925</v>
      </c>
      <c r="I7" s="48">
        <f>SQRT(H7*(1-H7)/SUM(G7:G8))</f>
        <v>7.5795893920905999E-3</v>
      </c>
      <c r="K7" t="str">
        <f>TEXT(H7,"#0.000")</f>
        <v>0.965</v>
      </c>
      <c r="L7" t="str">
        <f>TEXT(I7,"#0.000")</f>
        <v>0.008</v>
      </c>
    </row>
    <row r="8" spans="1:12" x14ac:dyDescent="0.35">
      <c r="B8" t="s">
        <v>56</v>
      </c>
      <c r="C8" s="43">
        <v>0.94899999999999995</v>
      </c>
      <c r="D8" s="43">
        <v>0.91700000000000004</v>
      </c>
      <c r="E8" s="43">
        <v>0.98099999999999998</v>
      </c>
      <c r="F8" s="46">
        <f t="shared" si="0"/>
        <v>1.9599639845400536</v>
      </c>
      <c r="G8" s="44">
        <f t="shared" si="1"/>
        <v>181</v>
      </c>
    </row>
  </sheetData>
  <hyperlinks>
    <hyperlink ref="A2" r:id="rId1" xr:uid="{6E9CA4E9-40C3-44D6-8831-B090C352BC6C}"/>
  </hyperlinks>
  <pageMargins left="0.7" right="0.7" top="0.75" bottom="0.75" header="0.3" footer="0.3"/>
  <pageSetup orientation="portrait" horizontalDpi="0" verticalDpi="0" r:id="rId2"/>
  <ignoredErrors>
    <ignoredError sqref="H5 H7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R40"/>
  <sheetViews>
    <sheetView showGridLines="0" topLeftCell="C13" workbookViewId="0">
      <selection activeCell="R29" sqref="R29:R36"/>
    </sheetView>
  </sheetViews>
  <sheetFormatPr defaultRowHeight="14.5" x14ac:dyDescent="0.35"/>
  <cols>
    <col min="1" max="1" width="3.453125" customWidth="1"/>
    <col min="4" max="4" width="23.54296875" customWidth="1"/>
    <col min="16" max="16" width="12.81640625" customWidth="1"/>
    <col min="17" max="17" width="9.1796875" customWidth="1"/>
  </cols>
  <sheetData>
    <row r="2" spans="1:16" ht="58" x14ac:dyDescent="0.35">
      <c r="B2" s="13"/>
      <c r="C2" s="14"/>
      <c r="D2" s="14"/>
      <c r="E2" s="15" t="s">
        <v>10</v>
      </c>
      <c r="F2" s="15" t="s">
        <v>11</v>
      </c>
      <c r="G2" s="15" t="s">
        <v>12</v>
      </c>
      <c r="H2" s="15" t="s">
        <v>13</v>
      </c>
      <c r="I2" s="15" t="s">
        <v>4</v>
      </c>
      <c r="J2" s="15" t="s">
        <v>20</v>
      </c>
      <c r="K2" s="15" t="s">
        <v>6</v>
      </c>
      <c r="L2" s="15" t="s">
        <v>15</v>
      </c>
      <c r="M2" s="15" t="s">
        <v>8</v>
      </c>
      <c r="N2" s="15" t="s">
        <v>14</v>
      </c>
      <c r="O2" s="15" t="s">
        <v>9</v>
      </c>
      <c r="P2" s="16" t="s">
        <v>16</v>
      </c>
    </row>
    <row r="3" spans="1:16" x14ac:dyDescent="0.35">
      <c r="A3">
        <v>2</v>
      </c>
      <c r="B3" s="5">
        <v>2000</v>
      </c>
      <c r="C3" s="6">
        <v>536</v>
      </c>
      <c r="D3" s="6" t="s">
        <v>3</v>
      </c>
      <c r="E3" s="6">
        <v>52</v>
      </c>
      <c r="F3" s="7">
        <v>9.7000000000000003E-2</v>
      </c>
      <c r="G3" s="6">
        <v>450</v>
      </c>
      <c r="H3" s="7">
        <v>0.83960000000000001</v>
      </c>
      <c r="I3" s="6">
        <v>0</v>
      </c>
      <c r="J3" s="7">
        <v>0</v>
      </c>
      <c r="K3" s="6">
        <v>34</v>
      </c>
      <c r="L3" s="7">
        <v>6.3399999999999998E-2</v>
      </c>
      <c r="M3" s="6">
        <v>0</v>
      </c>
      <c r="N3" s="7">
        <v>0</v>
      </c>
      <c r="O3" s="6">
        <v>0</v>
      </c>
      <c r="P3" s="8">
        <v>0</v>
      </c>
    </row>
    <row r="4" spans="1:16" x14ac:dyDescent="0.35">
      <c r="A4">
        <v>3</v>
      </c>
      <c r="B4" s="5">
        <v>2001</v>
      </c>
      <c r="C4" s="6">
        <v>693</v>
      </c>
      <c r="D4" s="6" t="s">
        <v>3</v>
      </c>
      <c r="E4" s="6">
        <v>127</v>
      </c>
      <c r="F4" s="7">
        <v>0.18329999999999999</v>
      </c>
      <c r="G4" s="6">
        <v>505</v>
      </c>
      <c r="H4" s="7">
        <v>0.72870000000000001</v>
      </c>
      <c r="I4" s="6">
        <v>2</v>
      </c>
      <c r="J4" s="7">
        <v>2.8999999999999998E-3</v>
      </c>
      <c r="K4" s="6">
        <v>58</v>
      </c>
      <c r="L4" s="7">
        <v>8.3699999999999997E-2</v>
      </c>
      <c r="M4" s="6">
        <v>0</v>
      </c>
      <c r="N4" s="7">
        <v>0</v>
      </c>
      <c r="O4" s="6">
        <v>0</v>
      </c>
      <c r="P4" s="8">
        <v>0</v>
      </c>
    </row>
    <row r="5" spans="1:16" x14ac:dyDescent="0.35">
      <c r="A5">
        <v>4</v>
      </c>
      <c r="B5" s="5">
        <v>2002</v>
      </c>
      <c r="C5" s="6">
        <v>841</v>
      </c>
      <c r="D5" s="6" t="s">
        <v>3</v>
      </c>
      <c r="E5" s="6">
        <v>176</v>
      </c>
      <c r="F5" s="7">
        <v>0.20930000000000001</v>
      </c>
      <c r="G5" s="6">
        <v>550</v>
      </c>
      <c r="H5" s="7">
        <v>0.65400000000000003</v>
      </c>
      <c r="I5" s="6">
        <v>0</v>
      </c>
      <c r="J5" s="7">
        <v>0</v>
      </c>
      <c r="K5" s="6">
        <v>115</v>
      </c>
      <c r="L5" s="7">
        <v>0.13669999999999999</v>
      </c>
      <c r="M5" s="6">
        <v>0</v>
      </c>
      <c r="N5" s="7">
        <v>0</v>
      </c>
      <c r="O5" s="6">
        <v>0</v>
      </c>
      <c r="P5" s="8">
        <v>0</v>
      </c>
    </row>
    <row r="6" spans="1:16" x14ac:dyDescent="0.35">
      <c r="A6">
        <v>5</v>
      </c>
      <c r="B6" s="5">
        <v>2003</v>
      </c>
      <c r="C6" s="6">
        <v>1060</v>
      </c>
      <c r="D6" s="6" t="s">
        <v>3</v>
      </c>
      <c r="E6" s="6">
        <v>201</v>
      </c>
      <c r="F6" s="7">
        <v>0.18959999999999999</v>
      </c>
      <c r="G6" s="6">
        <v>670</v>
      </c>
      <c r="H6" s="7">
        <v>0.6321</v>
      </c>
      <c r="I6" s="6">
        <v>0</v>
      </c>
      <c r="J6" s="7">
        <v>0</v>
      </c>
      <c r="K6" s="6">
        <v>189</v>
      </c>
      <c r="L6" s="7">
        <v>0.17829999999999999</v>
      </c>
      <c r="M6" s="6">
        <v>0</v>
      </c>
      <c r="N6" s="7">
        <v>0</v>
      </c>
      <c r="O6" s="6">
        <v>0</v>
      </c>
      <c r="P6" s="8">
        <v>0</v>
      </c>
    </row>
    <row r="7" spans="1:16" x14ac:dyDescent="0.35">
      <c r="A7">
        <v>6</v>
      </c>
      <c r="B7" s="5">
        <v>2004</v>
      </c>
      <c r="C7" s="6">
        <v>1006</v>
      </c>
      <c r="D7" s="6" t="s">
        <v>3</v>
      </c>
      <c r="E7" s="6">
        <v>163</v>
      </c>
      <c r="F7" s="7">
        <v>0.16200000000000001</v>
      </c>
      <c r="G7" s="6">
        <v>567</v>
      </c>
      <c r="H7" s="7">
        <v>0.56359999999999999</v>
      </c>
      <c r="I7" s="6">
        <v>6</v>
      </c>
      <c r="J7" s="7">
        <v>6.0000000000000001E-3</v>
      </c>
      <c r="K7" s="6">
        <v>270</v>
      </c>
      <c r="L7" s="7">
        <v>0.26840000000000003</v>
      </c>
      <c r="M7" s="6">
        <v>0</v>
      </c>
      <c r="N7" s="7">
        <v>0</v>
      </c>
      <c r="O7" s="6">
        <v>0</v>
      </c>
      <c r="P7" s="8">
        <v>0</v>
      </c>
    </row>
    <row r="8" spans="1:16" x14ac:dyDescent="0.35">
      <c r="A8">
        <v>7</v>
      </c>
      <c r="B8" s="5">
        <v>2005</v>
      </c>
      <c r="C8" s="6">
        <v>1140</v>
      </c>
      <c r="D8" s="6" t="s">
        <v>3</v>
      </c>
      <c r="E8" s="6">
        <v>167</v>
      </c>
      <c r="F8" s="7">
        <v>0.14649999999999999</v>
      </c>
      <c r="G8" s="6">
        <v>619</v>
      </c>
      <c r="H8" s="7">
        <v>0.54300000000000004</v>
      </c>
      <c r="I8" s="6">
        <v>6</v>
      </c>
      <c r="J8" s="7">
        <v>5.3E-3</v>
      </c>
      <c r="K8" s="6">
        <v>348</v>
      </c>
      <c r="L8" s="7">
        <v>0.30530000000000002</v>
      </c>
      <c r="M8" s="6">
        <v>0</v>
      </c>
      <c r="N8" s="7">
        <v>0</v>
      </c>
      <c r="O8" s="6">
        <v>0</v>
      </c>
      <c r="P8" s="8">
        <v>0</v>
      </c>
    </row>
    <row r="9" spans="1:16" x14ac:dyDescent="0.35">
      <c r="A9">
        <v>8</v>
      </c>
      <c r="B9" s="5">
        <v>2006</v>
      </c>
      <c r="C9" s="6">
        <v>1098</v>
      </c>
      <c r="D9" s="6" t="s">
        <v>3</v>
      </c>
      <c r="E9" s="6">
        <v>128</v>
      </c>
      <c r="F9" s="7">
        <v>0.1166</v>
      </c>
      <c r="G9" s="6">
        <v>525</v>
      </c>
      <c r="H9" s="7">
        <v>0.47810000000000002</v>
      </c>
      <c r="I9" s="6">
        <v>2</v>
      </c>
      <c r="J9" s="7">
        <v>1.8E-3</v>
      </c>
      <c r="K9" s="6">
        <v>443</v>
      </c>
      <c r="L9" s="7">
        <v>0.40350000000000003</v>
      </c>
      <c r="M9" s="6">
        <v>0</v>
      </c>
      <c r="N9" s="7">
        <v>0</v>
      </c>
      <c r="O9" s="6">
        <v>0</v>
      </c>
      <c r="P9" s="8">
        <v>0</v>
      </c>
    </row>
    <row r="10" spans="1:16" x14ac:dyDescent="0.35">
      <c r="A10">
        <v>9</v>
      </c>
      <c r="B10" s="5">
        <v>2007</v>
      </c>
      <c r="C10" s="6">
        <v>1062</v>
      </c>
      <c r="D10" s="6" t="s">
        <v>3</v>
      </c>
      <c r="E10" s="6">
        <v>147</v>
      </c>
      <c r="F10" s="7">
        <v>0.1384</v>
      </c>
      <c r="G10" s="6">
        <v>510</v>
      </c>
      <c r="H10" s="7">
        <v>0.48020000000000002</v>
      </c>
      <c r="I10" s="6">
        <v>3</v>
      </c>
      <c r="J10" s="7">
        <v>2.8E-3</v>
      </c>
      <c r="K10" s="6">
        <v>402</v>
      </c>
      <c r="L10" s="7">
        <v>0.3785</v>
      </c>
      <c r="M10" s="6">
        <v>0</v>
      </c>
      <c r="N10" s="7">
        <v>0</v>
      </c>
      <c r="O10" s="6">
        <v>0</v>
      </c>
      <c r="P10" s="8">
        <v>0</v>
      </c>
    </row>
    <row r="11" spans="1:16" x14ac:dyDescent="0.35">
      <c r="A11">
        <v>10</v>
      </c>
      <c r="B11" s="5">
        <v>2008</v>
      </c>
      <c r="C11" s="6">
        <v>949</v>
      </c>
      <c r="D11" s="6" t="s">
        <v>3</v>
      </c>
      <c r="E11" s="6">
        <v>157</v>
      </c>
      <c r="F11" s="7">
        <v>0.16539999999999999</v>
      </c>
      <c r="G11" s="6">
        <v>453</v>
      </c>
      <c r="H11" s="7">
        <v>0.4773</v>
      </c>
      <c r="I11" s="6">
        <v>4</v>
      </c>
      <c r="J11" s="7">
        <v>4.1999999999999997E-3</v>
      </c>
      <c r="K11" s="6">
        <v>333</v>
      </c>
      <c r="L11" s="7">
        <v>0.35089999999999999</v>
      </c>
      <c r="M11" s="6">
        <v>0</v>
      </c>
      <c r="N11" s="7">
        <v>0</v>
      </c>
      <c r="O11" s="6">
        <v>0</v>
      </c>
      <c r="P11" s="8">
        <v>0</v>
      </c>
    </row>
    <row r="12" spans="1:16" x14ac:dyDescent="0.35">
      <c r="A12">
        <v>11</v>
      </c>
      <c r="B12" s="5">
        <v>2009</v>
      </c>
      <c r="C12" s="6">
        <v>1182</v>
      </c>
      <c r="D12" s="6" t="s">
        <v>3</v>
      </c>
      <c r="E12" s="6">
        <v>179</v>
      </c>
      <c r="F12" s="7">
        <v>0.15140000000000001</v>
      </c>
      <c r="G12" s="6">
        <v>742</v>
      </c>
      <c r="H12" s="7">
        <v>0.62770000000000004</v>
      </c>
      <c r="I12" s="6">
        <v>6</v>
      </c>
      <c r="J12" s="7">
        <v>5.1000000000000004E-3</v>
      </c>
      <c r="K12" s="6">
        <v>250</v>
      </c>
      <c r="L12" s="7">
        <v>0.21149999999999999</v>
      </c>
      <c r="M12" s="6">
        <v>0</v>
      </c>
      <c r="N12" s="7">
        <v>0</v>
      </c>
      <c r="O12" s="6">
        <v>0</v>
      </c>
      <c r="P12" s="8">
        <v>0</v>
      </c>
    </row>
    <row r="13" spans="1:16" x14ac:dyDescent="0.35">
      <c r="A13">
        <v>12</v>
      </c>
      <c r="B13" s="5">
        <v>2010</v>
      </c>
      <c r="C13" s="6">
        <v>1368</v>
      </c>
      <c r="D13" s="6" t="s">
        <v>3</v>
      </c>
      <c r="E13" s="6">
        <v>159</v>
      </c>
      <c r="F13" s="7">
        <v>0.1162</v>
      </c>
      <c r="G13" s="6">
        <v>833</v>
      </c>
      <c r="H13" s="7">
        <v>0.6089</v>
      </c>
      <c r="I13" s="6">
        <v>3</v>
      </c>
      <c r="J13" s="7">
        <v>2.2000000000000001E-3</v>
      </c>
      <c r="K13" s="6">
        <v>367</v>
      </c>
      <c r="L13" s="7">
        <v>0.26829999999999998</v>
      </c>
      <c r="M13" s="6">
        <v>0</v>
      </c>
      <c r="N13" s="7">
        <v>0</v>
      </c>
      <c r="O13" s="6">
        <v>0</v>
      </c>
      <c r="P13" s="8">
        <v>0</v>
      </c>
    </row>
    <row r="14" spans="1:16" x14ac:dyDescent="0.35">
      <c r="A14">
        <v>13</v>
      </c>
      <c r="B14" s="5">
        <v>2011</v>
      </c>
      <c r="C14" s="6">
        <v>1365</v>
      </c>
      <c r="D14" s="6" t="s">
        <v>3</v>
      </c>
      <c r="E14" s="6">
        <v>163</v>
      </c>
      <c r="F14" s="7">
        <v>0.11940000000000001</v>
      </c>
      <c r="G14" s="6">
        <v>796</v>
      </c>
      <c r="H14" s="7">
        <v>0.58320000000000005</v>
      </c>
      <c r="I14" s="6">
        <v>7</v>
      </c>
      <c r="J14" s="7">
        <v>5.1000000000000004E-3</v>
      </c>
      <c r="K14" s="6">
        <v>398</v>
      </c>
      <c r="L14" s="7">
        <v>0.29160000000000003</v>
      </c>
      <c r="M14" s="6">
        <v>0</v>
      </c>
      <c r="N14" s="7">
        <v>0</v>
      </c>
      <c r="O14" s="6">
        <v>0</v>
      </c>
      <c r="P14" s="8">
        <v>0</v>
      </c>
    </row>
    <row r="15" spans="1:16" x14ac:dyDescent="0.35">
      <c r="A15">
        <v>14</v>
      </c>
      <c r="B15" s="5">
        <v>2012</v>
      </c>
      <c r="C15" s="6">
        <v>1514</v>
      </c>
      <c r="D15" s="6" t="s">
        <v>3</v>
      </c>
      <c r="E15" s="6">
        <v>196</v>
      </c>
      <c r="F15" s="7">
        <v>0.1295</v>
      </c>
      <c r="G15" s="6">
        <v>873</v>
      </c>
      <c r="H15" s="7">
        <v>0.5766</v>
      </c>
      <c r="I15" s="6">
        <v>7</v>
      </c>
      <c r="J15" s="7">
        <v>4.5999999999999999E-3</v>
      </c>
      <c r="K15" s="6">
        <v>437</v>
      </c>
      <c r="L15" s="7">
        <v>0.28860000000000002</v>
      </c>
      <c r="M15" s="6">
        <v>0</v>
      </c>
      <c r="N15" s="7">
        <v>0</v>
      </c>
      <c r="O15" s="6">
        <v>0</v>
      </c>
      <c r="P15" s="8">
        <v>0</v>
      </c>
    </row>
    <row r="16" spans="1:16" x14ac:dyDescent="0.35">
      <c r="A16">
        <v>15</v>
      </c>
      <c r="B16" s="5">
        <v>2013</v>
      </c>
      <c r="C16" s="6">
        <v>1775</v>
      </c>
      <c r="D16" s="6" t="s">
        <v>3</v>
      </c>
      <c r="E16" s="6">
        <v>222</v>
      </c>
      <c r="F16" s="7">
        <v>0.12509999999999999</v>
      </c>
      <c r="G16" s="6">
        <v>1026</v>
      </c>
      <c r="H16" s="7">
        <v>0.57799999999999996</v>
      </c>
      <c r="I16" s="6">
        <v>8</v>
      </c>
      <c r="J16" s="7">
        <v>4.4999999999999997E-3</v>
      </c>
      <c r="K16" s="6">
        <v>515</v>
      </c>
      <c r="L16" s="7">
        <v>0.29010000000000002</v>
      </c>
      <c r="M16" s="6">
        <v>0</v>
      </c>
      <c r="N16" s="7">
        <v>0</v>
      </c>
      <c r="O16" s="6">
        <v>0</v>
      </c>
      <c r="P16" s="8">
        <v>0</v>
      </c>
    </row>
    <row r="17" spans="1:18" x14ac:dyDescent="0.35">
      <c r="A17">
        <v>16</v>
      </c>
      <c r="B17" s="5">
        <v>2014</v>
      </c>
      <c r="C17" s="6">
        <v>1615</v>
      </c>
      <c r="D17" s="6" t="s">
        <v>3</v>
      </c>
      <c r="E17" s="6">
        <v>181</v>
      </c>
      <c r="F17" s="7">
        <v>0.11210000000000001</v>
      </c>
      <c r="G17" s="6">
        <v>934</v>
      </c>
      <c r="H17" s="7">
        <v>0.57830000000000004</v>
      </c>
      <c r="I17" s="6">
        <v>4</v>
      </c>
      <c r="J17" s="7">
        <v>2.5000000000000001E-3</v>
      </c>
      <c r="K17" s="6">
        <v>489</v>
      </c>
      <c r="L17" s="7">
        <v>0.30280000000000001</v>
      </c>
      <c r="M17" s="6">
        <v>0</v>
      </c>
      <c r="N17" s="7">
        <v>0</v>
      </c>
      <c r="O17" s="6">
        <v>0</v>
      </c>
      <c r="P17" s="8">
        <v>0</v>
      </c>
    </row>
    <row r="18" spans="1:18" x14ac:dyDescent="0.35">
      <c r="A18">
        <v>17</v>
      </c>
      <c r="B18" s="5">
        <v>2015</v>
      </c>
      <c r="C18" s="6">
        <v>1659</v>
      </c>
      <c r="D18" s="6" t="s">
        <v>3</v>
      </c>
      <c r="E18" s="6">
        <v>148</v>
      </c>
      <c r="F18" s="7">
        <v>8.9200000000000002E-2</v>
      </c>
      <c r="G18" s="6">
        <v>942</v>
      </c>
      <c r="H18" s="7">
        <v>0.56779999999999997</v>
      </c>
      <c r="I18" s="6">
        <v>10</v>
      </c>
      <c r="J18" s="7">
        <v>6.0000000000000001E-3</v>
      </c>
      <c r="K18" s="6">
        <v>556</v>
      </c>
      <c r="L18" s="7">
        <v>0.33510000000000001</v>
      </c>
      <c r="M18" s="6">
        <v>0</v>
      </c>
      <c r="N18" s="7">
        <v>0</v>
      </c>
      <c r="O18" s="6">
        <v>0</v>
      </c>
      <c r="P18" s="8">
        <v>0</v>
      </c>
    </row>
    <row r="19" spans="1:18" x14ac:dyDescent="0.35">
      <c r="A19">
        <v>18</v>
      </c>
      <c r="B19" s="5">
        <v>2016</v>
      </c>
      <c r="C19" s="6">
        <v>1668</v>
      </c>
      <c r="D19" s="6" t="s">
        <v>3</v>
      </c>
      <c r="E19" s="6">
        <v>117</v>
      </c>
      <c r="F19" s="7">
        <v>7.0099999999999996E-2</v>
      </c>
      <c r="G19" s="6">
        <v>897</v>
      </c>
      <c r="H19" s="7">
        <v>0.53779999999999994</v>
      </c>
      <c r="I19" s="6">
        <v>5</v>
      </c>
      <c r="J19" s="7">
        <v>3.0000000000000001E-3</v>
      </c>
      <c r="K19" s="6">
        <v>645</v>
      </c>
      <c r="L19" s="7">
        <v>0.38669999999999999</v>
      </c>
      <c r="M19" s="6">
        <v>0</v>
      </c>
      <c r="N19" s="7">
        <v>0</v>
      </c>
      <c r="O19" s="6">
        <v>0</v>
      </c>
      <c r="P19" s="8">
        <v>0</v>
      </c>
    </row>
    <row r="20" spans="1:18" x14ac:dyDescent="0.35">
      <c r="A20">
        <v>19</v>
      </c>
      <c r="B20" s="5">
        <v>2017</v>
      </c>
      <c r="C20" s="6">
        <v>1641</v>
      </c>
      <c r="D20" s="6" t="s">
        <v>3</v>
      </c>
      <c r="E20" s="6">
        <v>119</v>
      </c>
      <c r="F20" s="7">
        <v>7.2499999999999995E-2</v>
      </c>
      <c r="G20" s="6">
        <v>838</v>
      </c>
      <c r="H20" s="7">
        <v>0.51070000000000004</v>
      </c>
      <c r="I20" s="6">
        <v>7</v>
      </c>
      <c r="J20" s="7">
        <v>4.3E-3</v>
      </c>
      <c r="K20" s="6">
        <v>677</v>
      </c>
      <c r="L20" s="7">
        <v>0.41260000000000002</v>
      </c>
      <c r="M20" s="6">
        <v>0</v>
      </c>
      <c r="N20" s="7">
        <v>0</v>
      </c>
      <c r="O20" s="6">
        <v>0</v>
      </c>
      <c r="P20" s="8">
        <v>0</v>
      </c>
    </row>
    <row r="21" spans="1:18" x14ac:dyDescent="0.35">
      <c r="A21">
        <v>20</v>
      </c>
      <c r="B21" s="5">
        <v>2018</v>
      </c>
      <c r="C21" s="6">
        <v>1548</v>
      </c>
      <c r="D21" s="6" t="s">
        <v>3</v>
      </c>
      <c r="E21" s="6">
        <v>131</v>
      </c>
      <c r="F21" s="7">
        <v>8.4599999999999995E-2</v>
      </c>
      <c r="G21" s="6">
        <v>752</v>
      </c>
      <c r="H21" s="7">
        <v>0.48580000000000001</v>
      </c>
      <c r="I21" s="6">
        <v>24</v>
      </c>
      <c r="J21" s="7">
        <v>1.55E-2</v>
      </c>
      <c r="K21" s="6">
        <v>641</v>
      </c>
      <c r="L21" s="7">
        <v>0.41410000000000002</v>
      </c>
      <c r="M21" s="6">
        <v>0</v>
      </c>
      <c r="N21" s="7">
        <v>0</v>
      </c>
      <c r="O21" s="6">
        <v>0</v>
      </c>
      <c r="P21" s="8">
        <v>0</v>
      </c>
    </row>
    <row r="22" spans="1:18" x14ac:dyDescent="0.35">
      <c r="A22">
        <v>21</v>
      </c>
      <c r="B22" s="9">
        <v>2019</v>
      </c>
      <c r="C22" s="10">
        <v>1442</v>
      </c>
      <c r="D22" s="10" t="s">
        <v>3</v>
      </c>
      <c r="E22" s="10">
        <v>105</v>
      </c>
      <c r="F22" s="11">
        <v>7.2800000000000004E-2</v>
      </c>
      <c r="G22" s="10">
        <v>635</v>
      </c>
      <c r="H22" s="11">
        <v>0.44040000000000001</v>
      </c>
      <c r="I22" s="10">
        <v>28</v>
      </c>
      <c r="J22" s="11">
        <v>1.9400000000000001E-2</v>
      </c>
      <c r="K22" s="10">
        <v>672</v>
      </c>
      <c r="L22" s="11">
        <v>0.46600000000000003</v>
      </c>
      <c r="M22" s="10">
        <v>0</v>
      </c>
      <c r="N22" s="11">
        <v>0</v>
      </c>
      <c r="O22" s="10">
        <v>0</v>
      </c>
      <c r="P22" s="12">
        <v>0</v>
      </c>
    </row>
    <row r="23" spans="1:18" x14ac:dyDescent="0.35">
      <c r="A23">
        <v>22</v>
      </c>
    </row>
    <row r="24" spans="1:18" x14ac:dyDescent="0.35">
      <c r="A24">
        <v>23</v>
      </c>
      <c r="B24" t="s">
        <v>0</v>
      </c>
      <c r="C24">
        <f>SUM(C8:C22)</f>
        <v>21026</v>
      </c>
      <c r="E24">
        <f>SUM(E8:E22)</f>
        <v>2319</v>
      </c>
      <c r="G24">
        <f>SUM(G8:G22)</f>
        <v>11375</v>
      </c>
      <c r="I24">
        <f>SUM(I8:I22)</f>
        <v>124</v>
      </c>
      <c r="K24">
        <f>SUM(K8:K22)</f>
        <v>7173</v>
      </c>
      <c r="M24">
        <f>SUM(M8:M22)</f>
        <v>0</v>
      </c>
      <c r="O24">
        <f>SUM(O8:O22)</f>
        <v>0</v>
      </c>
    </row>
    <row r="25" spans="1:18" x14ac:dyDescent="0.35">
      <c r="A25">
        <v>24</v>
      </c>
      <c r="B25" t="s">
        <v>17</v>
      </c>
      <c r="E25" s="2">
        <f>E24/$C$24</f>
        <v>0.11029201940454675</v>
      </c>
      <c r="F25" s="2"/>
      <c r="G25" s="2">
        <f>G24/$C$24</f>
        <v>0.54099686102920197</v>
      </c>
      <c r="H25" s="2"/>
      <c r="I25" s="2">
        <f>I24/$C$24</f>
        <v>5.8974602872633878E-3</v>
      </c>
      <c r="J25" s="2"/>
      <c r="K25" s="2">
        <f>K24/$C$24</f>
        <v>0.34114905355274422</v>
      </c>
      <c r="L25" s="2"/>
      <c r="M25" s="2">
        <f>M24/$C$24</f>
        <v>0</v>
      </c>
      <c r="N25" s="2"/>
      <c r="O25" s="2">
        <f>O24/$C$24</f>
        <v>0</v>
      </c>
      <c r="P25" s="2"/>
    </row>
    <row r="27" spans="1:18" x14ac:dyDescent="0.35">
      <c r="H27" s="24" t="s">
        <v>47</v>
      </c>
    </row>
    <row r="28" spans="1:18" x14ac:dyDescent="0.35">
      <c r="D28" s="4"/>
      <c r="E28" s="4" t="s">
        <v>19</v>
      </c>
      <c r="F28" s="4"/>
      <c r="H28" s="32">
        <v>500</v>
      </c>
      <c r="I28" s="4"/>
      <c r="J28" s="24" t="s">
        <v>48</v>
      </c>
      <c r="K28" s="24" t="s">
        <v>49</v>
      </c>
      <c r="L28" s="24" t="s">
        <v>1</v>
      </c>
      <c r="M28" s="24" t="s">
        <v>2</v>
      </c>
      <c r="N28" s="42" t="s">
        <v>18</v>
      </c>
      <c r="O28" s="42"/>
      <c r="P28" s="39" t="s">
        <v>51</v>
      </c>
      <c r="R28" t="s">
        <v>52</v>
      </c>
    </row>
    <row r="29" spans="1:18" x14ac:dyDescent="0.35">
      <c r="D29" s="33" t="s">
        <v>10</v>
      </c>
      <c r="E29" s="34">
        <f>HLOOKUP(D29,E$2:$P$25,24,FALSE)</f>
        <v>0.11029201940454675</v>
      </c>
      <c r="F29" s="36">
        <f>_xlfn.IFNA(E29,0)</f>
        <v>0.11029201940454675</v>
      </c>
      <c r="H29" s="29">
        <f t="shared" ref="H29:H36" si="0">INT(F29*$H$28)</f>
        <v>55</v>
      </c>
      <c r="I29" s="31" t="str">
        <f>H29&amp;", "</f>
        <v xml:space="preserve">55, </v>
      </c>
      <c r="J29" s="35">
        <f t="shared" ref="J29:J36" si="1">SQRT(F29*(1-F29)/$H$28)</f>
        <v>1.4009117735261836E-2</v>
      </c>
      <c r="K29" s="31">
        <f t="shared" ref="K29:K36" si="2">_xlfn.T.INV(1-0.05/2,$H$28-1)</f>
        <v>1.964729390987682</v>
      </c>
      <c r="L29" s="36">
        <f t="shared" ref="L29:L36" si="3">MAX(F29-K29*J29,)</f>
        <v>8.2767894048271035E-2</v>
      </c>
      <c r="M29" s="36">
        <f t="shared" ref="M29:M36" si="4">F29+K29*J29</f>
        <v>0.13781614476082246</v>
      </c>
      <c r="N29" s="41" t="str">
        <f>"("&amp;TEXT(L29,"#0.000") &amp;", " &amp; TEXT(M29,"#0.000")&amp;")"</f>
        <v>(0.083, 0.138)</v>
      </c>
      <c r="O29" s="41"/>
      <c r="P29" s="38" t="str">
        <f>TEXT(100*F29,"#0.0") &amp;", " &amp;TEXT(100*L29,"#0.0") &amp;", " &amp; TEXT(100*M29,"#0.0")</f>
        <v>11.0, 8.3, 13.8</v>
      </c>
      <c r="R29" t="str">
        <f>TEXT(F29,"#0.0%") &amp;" (" &amp;TEXT(L29,"#0.0%") &amp;", " &amp; TEXT(M29,"#0.0%")&amp;")"</f>
        <v>11.0% (8.3%, 13.8%)</v>
      </c>
    </row>
    <row r="30" spans="1:18" x14ac:dyDescent="0.35">
      <c r="D30" s="33" t="s">
        <v>4</v>
      </c>
      <c r="E30" s="34">
        <f>HLOOKUP(D30,E$2:$P$25,24,FALSE)</f>
        <v>5.8974602872633878E-3</v>
      </c>
      <c r="F30" s="36">
        <f>_xlfn.IFNA(E30,0)</f>
        <v>5.8974602872633878E-3</v>
      </c>
      <c r="G30" s="31"/>
      <c r="H30" s="29">
        <f t="shared" si="0"/>
        <v>2</v>
      </c>
      <c r="I30" s="31" t="str">
        <f t="shared" ref="I30:I36" si="5">H30&amp;", "</f>
        <v xml:space="preserve">2, </v>
      </c>
      <c r="J30" s="35">
        <f t="shared" si="1"/>
        <v>3.4242313734394584E-3</v>
      </c>
      <c r="K30" s="31">
        <f>_xlfn.T.INV(1-0.05/2,$H$28-1)</f>
        <v>1.964729390987682</v>
      </c>
      <c r="L30" s="36">
        <f t="shared" si="3"/>
        <v>0</v>
      </c>
      <c r="M30" s="36">
        <f t="shared" si="4"/>
        <v>1.2625148308202008E-2</v>
      </c>
      <c r="N30" s="41" t="str">
        <f>"("&amp;TEXT(L30,"#0.000") &amp;", " &amp; TEXT(M30,"#0.000")&amp;")"</f>
        <v>(0.000, 0.013)</v>
      </c>
      <c r="O30" s="41"/>
      <c r="P30" s="38" t="str">
        <f t="shared" ref="P30:P36" si="6">TEXT(100*F30,"#0.0") &amp;", " &amp;TEXT(100*L30,"#0.0") &amp;", " &amp; TEXT(100*M30,"#0.0")</f>
        <v>0.6, 0.0, 1.3</v>
      </c>
      <c r="R30" t="str">
        <f t="shared" ref="R30:R36" si="7">TEXT(F30,"#0.0%") &amp;" (" &amp;TEXT(L30,"#0.0%") &amp;", " &amp; TEXT(M30,"#0.0%")&amp;")"</f>
        <v>0.6% (0.0%, 1.3%)</v>
      </c>
    </row>
    <row r="31" spans="1:18" s="1" customFormat="1" x14ac:dyDescent="0.35">
      <c r="D31" s="33" t="s">
        <v>12</v>
      </c>
      <c r="E31" s="34">
        <f>HLOOKUP(D31,E$2:$P$25,24,FALSE)</f>
        <v>0.54099686102920197</v>
      </c>
      <c r="F31" s="36">
        <f t="shared" ref="F31:F36" si="8">_xlfn.IFNA(E31,0)</f>
        <v>0.54099686102920197</v>
      </c>
      <c r="G31" s="33"/>
      <c r="H31" s="29">
        <f t="shared" si="0"/>
        <v>270</v>
      </c>
      <c r="I31" s="31" t="str">
        <f t="shared" si="5"/>
        <v xml:space="preserve">270, </v>
      </c>
      <c r="J31" s="35">
        <f t="shared" si="1"/>
        <v>2.2285387920597314E-2</v>
      </c>
      <c r="K31" s="31">
        <f t="shared" si="2"/>
        <v>1.964729390987682</v>
      </c>
      <c r="L31" s="36">
        <f t="shared" si="3"/>
        <v>0.49721210439204255</v>
      </c>
      <c r="M31" s="36">
        <f t="shared" si="4"/>
        <v>0.58478161766636139</v>
      </c>
      <c r="N31" s="41" t="str">
        <f t="shared" ref="N31:N36" si="9">"("&amp;TEXT(L31,"#0.000") &amp;", " &amp; TEXT(M31,"#0.000")&amp;")"</f>
        <v>(0.497, 0.585)</v>
      </c>
      <c r="O31" s="41"/>
      <c r="P31" s="38" t="str">
        <f t="shared" si="6"/>
        <v>54.1, 49.7, 58.5</v>
      </c>
      <c r="R31" t="str">
        <f t="shared" si="7"/>
        <v>54.1% (49.7%, 58.5%)</v>
      </c>
    </row>
    <row r="32" spans="1:18" x14ac:dyDescent="0.35">
      <c r="D32" s="33" t="s">
        <v>5</v>
      </c>
      <c r="E32" s="34" t="e">
        <f>HLOOKUP(D32,E$2:$P$25,24,FALSE)</f>
        <v>#N/A</v>
      </c>
      <c r="F32" s="36">
        <f t="shared" si="8"/>
        <v>0</v>
      </c>
      <c r="G32" s="31"/>
      <c r="H32" s="29">
        <f t="shared" si="0"/>
        <v>0</v>
      </c>
      <c r="I32" s="31" t="str">
        <f t="shared" si="5"/>
        <v xml:space="preserve">0, </v>
      </c>
      <c r="J32" s="35">
        <f t="shared" si="1"/>
        <v>0</v>
      </c>
      <c r="K32" s="31">
        <f t="shared" si="2"/>
        <v>1.964729390987682</v>
      </c>
      <c r="L32" s="36">
        <f t="shared" si="3"/>
        <v>0</v>
      </c>
      <c r="M32" s="36">
        <f t="shared" si="4"/>
        <v>0</v>
      </c>
      <c r="N32" s="41" t="str">
        <f t="shared" si="9"/>
        <v>(0.000, 0.000)</v>
      </c>
      <c r="O32" s="41"/>
      <c r="P32" s="38" t="str">
        <f t="shared" si="6"/>
        <v>0.0, 0.0, 0.0</v>
      </c>
      <c r="R32" t="str">
        <f t="shared" si="7"/>
        <v>0.0% (0.0%, 0.0%)</v>
      </c>
    </row>
    <row r="33" spans="4:18" x14ac:dyDescent="0.35">
      <c r="D33" s="33" t="s">
        <v>6</v>
      </c>
      <c r="E33" s="34">
        <f>HLOOKUP(D33,E$2:$P$25,24,FALSE)</f>
        <v>0.34114905355274422</v>
      </c>
      <c r="F33" s="36">
        <f t="shared" si="8"/>
        <v>0.34114905355274422</v>
      </c>
      <c r="G33" s="31"/>
      <c r="H33" s="29">
        <f t="shared" si="0"/>
        <v>170</v>
      </c>
      <c r="I33" s="31" t="str">
        <f t="shared" si="5"/>
        <v xml:space="preserve">170, </v>
      </c>
      <c r="J33" s="35">
        <f t="shared" si="1"/>
        <v>2.1202187472655318E-2</v>
      </c>
      <c r="K33" s="31">
        <f t="shared" si="2"/>
        <v>1.964729390987682</v>
      </c>
      <c r="L33" s="36">
        <f t="shared" si="3"/>
        <v>0.29949249267198746</v>
      </c>
      <c r="M33" s="36">
        <f t="shared" si="4"/>
        <v>0.38280561443350097</v>
      </c>
      <c r="N33" s="41" t="str">
        <f t="shared" si="9"/>
        <v>(0.299, 0.383)</v>
      </c>
      <c r="O33" s="41"/>
      <c r="P33" s="38" t="str">
        <f t="shared" si="6"/>
        <v>34.1, 29.9, 38.3</v>
      </c>
      <c r="R33" t="str">
        <f t="shared" si="7"/>
        <v>34.1% (29.9%, 38.3%)</v>
      </c>
    </row>
    <row r="34" spans="4:18" x14ac:dyDescent="0.35">
      <c r="D34" s="33" t="s">
        <v>7</v>
      </c>
      <c r="E34" s="34" t="e">
        <f>HLOOKUP(D34,E$2:$P$25,24,FALSE)</f>
        <v>#N/A</v>
      </c>
      <c r="F34" s="36">
        <f t="shared" si="8"/>
        <v>0</v>
      </c>
      <c r="G34" s="31"/>
      <c r="H34" s="29">
        <f t="shared" si="0"/>
        <v>0</v>
      </c>
      <c r="I34" s="31" t="str">
        <f t="shared" si="5"/>
        <v xml:space="preserve">0, </v>
      </c>
      <c r="J34" s="35">
        <f t="shared" si="1"/>
        <v>0</v>
      </c>
      <c r="K34" s="31">
        <f t="shared" si="2"/>
        <v>1.964729390987682</v>
      </c>
      <c r="L34" s="36">
        <f t="shared" si="3"/>
        <v>0</v>
      </c>
      <c r="M34" s="36">
        <f t="shared" si="4"/>
        <v>0</v>
      </c>
      <c r="N34" s="41" t="str">
        <f t="shared" si="9"/>
        <v>(0.000, 0.000)</v>
      </c>
      <c r="O34" s="41"/>
      <c r="P34" s="38" t="str">
        <f t="shared" si="6"/>
        <v>0.0, 0.0, 0.0</v>
      </c>
      <c r="R34" t="str">
        <f t="shared" si="7"/>
        <v>0.0% (0.0%, 0.0%)</v>
      </c>
    </row>
    <row r="35" spans="4:18" x14ac:dyDescent="0.35">
      <c r="D35" s="33" t="s">
        <v>8</v>
      </c>
      <c r="E35" s="34">
        <f>HLOOKUP(D35,E$2:$P$25,24,FALSE)</f>
        <v>0</v>
      </c>
      <c r="F35" s="36">
        <f t="shared" si="8"/>
        <v>0</v>
      </c>
      <c r="G35" s="31"/>
      <c r="H35" s="29">
        <f t="shared" si="0"/>
        <v>0</v>
      </c>
      <c r="I35" s="31" t="str">
        <f t="shared" si="5"/>
        <v xml:space="preserve">0, </v>
      </c>
      <c r="J35" s="35">
        <f t="shared" si="1"/>
        <v>0</v>
      </c>
      <c r="K35" s="31">
        <f t="shared" si="2"/>
        <v>1.964729390987682</v>
      </c>
      <c r="L35" s="36">
        <f t="shared" si="3"/>
        <v>0</v>
      </c>
      <c r="M35" s="36">
        <f t="shared" si="4"/>
        <v>0</v>
      </c>
      <c r="N35" s="41" t="str">
        <f t="shared" si="9"/>
        <v>(0.000, 0.000)</v>
      </c>
      <c r="O35" s="41"/>
      <c r="P35" s="38" t="str">
        <f t="shared" si="6"/>
        <v>0.0, 0.0, 0.0</v>
      </c>
      <c r="R35" t="str">
        <f t="shared" si="7"/>
        <v>0.0% (0.0%, 0.0%)</v>
      </c>
    </row>
    <row r="36" spans="4:18" x14ac:dyDescent="0.35">
      <c r="D36" s="25" t="s">
        <v>9</v>
      </c>
      <c r="E36" s="26">
        <f>HLOOKUP(D36,E$2:$P$25,24,FALSE)</f>
        <v>0</v>
      </c>
      <c r="F36" s="28">
        <f t="shared" si="8"/>
        <v>0</v>
      </c>
      <c r="G36" s="31"/>
      <c r="H36" s="30">
        <f t="shared" si="0"/>
        <v>0</v>
      </c>
      <c r="I36" s="4" t="str">
        <f t="shared" si="5"/>
        <v xml:space="preserve">0, </v>
      </c>
      <c r="J36" s="27">
        <f t="shared" si="1"/>
        <v>0</v>
      </c>
      <c r="K36" s="4">
        <f t="shared" si="2"/>
        <v>1.964729390987682</v>
      </c>
      <c r="L36" s="28">
        <f t="shared" si="3"/>
        <v>0</v>
      </c>
      <c r="M36" s="28">
        <f t="shared" si="4"/>
        <v>0</v>
      </c>
      <c r="N36" s="42" t="str">
        <f t="shared" si="9"/>
        <v>(0.000, 0.000)</v>
      </c>
      <c r="O36" s="42"/>
      <c r="P36" s="40" t="str">
        <f t="shared" si="6"/>
        <v>0.0, 0.0, 0.0</v>
      </c>
      <c r="R36" t="str">
        <f t="shared" si="7"/>
        <v>0.0% (0.0%, 0.0%)</v>
      </c>
    </row>
    <row r="38" spans="4:18" x14ac:dyDescent="0.35">
      <c r="D38" s="1"/>
      <c r="E38" s="3"/>
      <c r="F38" s="3"/>
    </row>
    <row r="39" spans="4:18" x14ac:dyDescent="0.35">
      <c r="H39" s="37" t="s">
        <v>50</v>
      </c>
      <c r="I39" s="38"/>
      <c r="J39" s="38"/>
    </row>
    <row r="40" spans="4:18" x14ac:dyDescent="0.35">
      <c r="E40" s="3"/>
      <c r="F40" s="3"/>
      <c r="H40" s="38" t="str">
        <f>_xlfn.CONCAT(I29:I36)</f>
        <v xml:space="preserve">55, 2, 270, 0, 170, 0, 0, 0, </v>
      </c>
      <c r="I40" s="38"/>
      <c r="J40" s="38"/>
    </row>
  </sheetData>
  <mergeCells count="9">
    <mergeCell ref="N34:O34"/>
    <mergeCell ref="N35:O35"/>
    <mergeCell ref="N36:O36"/>
    <mergeCell ref="N29:O29"/>
    <mergeCell ref="N28:O28"/>
    <mergeCell ref="N30:O30"/>
    <mergeCell ref="N31:O31"/>
    <mergeCell ref="N32:O32"/>
    <mergeCell ref="N33:O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workbookViewId="0">
      <selection activeCell="C28" sqref="C28"/>
    </sheetView>
  </sheetViews>
  <sheetFormatPr defaultRowHeight="14.5" x14ac:dyDescent="0.35"/>
  <cols>
    <col min="2" max="2" width="29.7265625" bestFit="1" customWidth="1"/>
  </cols>
  <sheetData>
    <row r="1" spans="1:4" x14ac:dyDescent="0.35">
      <c r="A1" t="s">
        <v>21</v>
      </c>
    </row>
    <row r="3" spans="1:4" ht="26" x14ac:dyDescent="0.35">
      <c r="B3" s="17" t="s">
        <v>22</v>
      </c>
    </row>
    <row r="4" spans="1:4" ht="43.5" x14ac:dyDescent="0.35">
      <c r="B4" s="18" t="s">
        <v>23</v>
      </c>
    </row>
    <row r="5" spans="1:4" x14ac:dyDescent="0.35">
      <c r="B5" s="4"/>
      <c r="C5" s="21" t="s">
        <v>24</v>
      </c>
      <c r="D5" s="21" t="s">
        <v>25</v>
      </c>
    </row>
    <row r="6" spans="1:4" x14ac:dyDescent="0.35">
      <c r="B6" s="19" t="s">
        <v>26</v>
      </c>
      <c r="C6" s="20">
        <v>9.86</v>
      </c>
      <c r="D6" s="20">
        <v>9.44</v>
      </c>
    </row>
    <row r="7" spans="1:4" x14ac:dyDescent="0.35">
      <c r="B7" s="19" t="s">
        <v>27</v>
      </c>
      <c r="C7" s="20">
        <v>10.35</v>
      </c>
      <c r="D7" s="20">
        <v>9.89</v>
      </c>
    </row>
    <row r="8" spans="1:4" x14ac:dyDescent="0.35">
      <c r="B8" s="19" t="s">
        <v>28</v>
      </c>
      <c r="C8" s="20">
        <v>10.59</v>
      </c>
      <c r="D8" s="20">
        <v>10.16</v>
      </c>
    </row>
    <row r="9" spans="1:4" x14ac:dyDescent="0.35">
      <c r="B9" s="19" t="s">
        <v>29</v>
      </c>
      <c r="C9" s="20">
        <v>10.69</v>
      </c>
      <c r="D9" s="20">
        <v>10.27</v>
      </c>
    </row>
    <row r="10" spans="1:4" x14ac:dyDescent="0.35">
      <c r="B10" s="19" t="s">
        <v>30</v>
      </c>
      <c r="C10" s="20">
        <v>11.03</v>
      </c>
      <c r="D10" s="20">
        <v>10.56</v>
      </c>
    </row>
    <row r="11" spans="1:4" x14ac:dyDescent="0.35">
      <c r="B11" s="19" t="s">
        <v>31</v>
      </c>
      <c r="C11" s="20">
        <v>11.88</v>
      </c>
      <c r="D11" s="20">
        <v>11.36</v>
      </c>
    </row>
    <row r="12" spans="1:4" x14ac:dyDescent="0.35">
      <c r="B12" s="19" t="s">
        <v>32</v>
      </c>
      <c r="C12" s="20">
        <v>11.57</v>
      </c>
      <c r="D12" s="20">
        <v>11.27</v>
      </c>
    </row>
    <row r="13" spans="1:4" x14ac:dyDescent="0.35">
      <c r="B13" s="19" t="s">
        <v>33</v>
      </c>
      <c r="C13" s="20">
        <v>10.94</v>
      </c>
      <c r="D13" s="20">
        <v>10.89</v>
      </c>
    </row>
    <row r="14" spans="1:4" x14ac:dyDescent="0.35">
      <c r="B14" s="19" t="s">
        <v>34</v>
      </c>
      <c r="C14" s="20">
        <v>10.11</v>
      </c>
      <c r="D14" s="20">
        <v>10.199999999999999</v>
      </c>
    </row>
    <row r="15" spans="1:4" x14ac:dyDescent="0.35">
      <c r="B15" s="19" t="s">
        <v>35</v>
      </c>
      <c r="C15" s="20">
        <v>9.8699999999999992</v>
      </c>
      <c r="D15" s="20">
        <v>10.1</v>
      </c>
    </row>
    <row r="16" spans="1:4" x14ac:dyDescent="0.35">
      <c r="B16" s="19" t="s">
        <v>36</v>
      </c>
      <c r="C16" s="20">
        <v>10.050000000000001</v>
      </c>
      <c r="D16" s="20">
        <v>10.34</v>
      </c>
    </row>
    <row r="17" spans="1:4" x14ac:dyDescent="0.35">
      <c r="B17" s="19" t="s">
        <v>37</v>
      </c>
      <c r="C17" s="20">
        <v>10.51</v>
      </c>
      <c r="D17" s="20">
        <v>11.09</v>
      </c>
    </row>
    <row r="18" spans="1:4" x14ac:dyDescent="0.35">
      <c r="B18" s="19" t="s">
        <v>38</v>
      </c>
      <c r="C18" s="20">
        <v>9.98</v>
      </c>
      <c r="D18" s="20">
        <v>10.82</v>
      </c>
    </row>
    <row r="19" spans="1:4" x14ac:dyDescent="0.35">
      <c r="B19" s="19" t="s">
        <v>39</v>
      </c>
      <c r="C19" s="20">
        <v>8.39</v>
      </c>
      <c r="D19" s="20">
        <v>9.48</v>
      </c>
    </row>
    <row r="20" spans="1:4" x14ac:dyDescent="0.35">
      <c r="B20" s="19" t="s">
        <v>40</v>
      </c>
      <c r="C20" s="20">
        <v>6.79</v>
      </c>
      <c r="D20" s="20">
        <v>7.88</v>
      </c>
    </row>
    <row r="21" spans="1:4" x14ac:dyDescent="0.35">
      <c r="B21" s="19" t="s">
        <v>41</v>
      </c>
      <c r="C21" s="20">
        <v>4.47</v>
      </c>
      <c r="D21" s="20">
        <v>5.51</v>
      </c>
    </row>
    <row r="22" spans="1:4" x14ac:dyDescent="0.35">
      <c r="B22" s="19" t="s">
        <v>42</v>
      </c>
      <c r="C22" s="20">
        <v>2.75</v>
      </c>
      <c r="D22" s="20">
        <v>3.72</v>
      </c>
    </row>
    <row r="23" spans="1:4" x14ac:dyDescent="0.35">
      <c r="B23" s="19" t="s">
        <v>43</v>
      </c>
      <c r="C23" s="20">
        <v>2.41</v>
      </c>
      <c r="D23" s="20">
        <v>4.24</v>
      </c>
    </row>
    <row r="25" spans="1:4" x14ac:dyDescent="0.35">
      <c r="A25" t="s">
        <v>44</v>
      </c>
    </row>
    <row r="27" spans="1:4" x14ac:dyDescent="0.35">
      <c r="B27" s="22" t="s">
        <v>45</v>
      </c>
      <c r="C27" s="23">
        <v>4503080</v>
      </c>
    </row>
    <row r="28" spans="1:4" x14ac:dyDescent="0.35">
      <c r="B28" t="s">
        <v>46</v>
      </c>
      <c r="C28" s="23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2022-08-02T21:40:42Z</dcterms:modified>
</cp:coreProperties>
</file>