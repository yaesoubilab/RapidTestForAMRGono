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data\"/>
    </mc:Choice>
  </mc:AlternateContent>
  <xr:revisionPtr revIDLastSave="0" documentId="13_ncr:1_{F3B7614A-86B0-4AA9-AEEF-BDC31E2B85D4}" xr6:coauthVersionLast="47" xr6:coauthVersionMax="47" xr10:uidLastSave="{00000000-0000-0000-0000-000000000000}"/>
  <bookViews>
    <workbookView xWindow="-120" yWindow="-120" windowWidth="25440" windowHeight="15390" xr2:uid="{AC5A884F-CD4B-4221-999D-895041B6D12D}"/>
  </bookViews>
  <sheets>
    <sheet name="Resistance Profile" sheetId="1" r:id="rId1"/>
    <sheet name="Popul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3" l="1"/>
  <c r="L32" i="1"/>
  <c r="L33" i="1"/>
  <c r="L34" i="1"/>
  <c r="L36" i="1"/>
  <c r="H30" i="1"/>
  <c r="I30" i="1"/>
  <c r="L30" i="1" s="1"/>
  <c r="H31" i="1"/>
  <c r="J31" i="1" s="1"/>
  <c r="I31" i="1"/>
  <c r="H32" i="1"/>
  <c r="J32" i="1" s="1"/>
  <c r="I32" i="1"/>
  <c r="H33" i="1"/>
  <c r="J33" i="1" s="1"/>
  <c r="I33" i="1"/>
  <c r="H34" i="1"/>
  <c r="J34" i="1" s="1"/>
  <c r="I34" i="1"/>
  <c r="H35" i="1"/>
  <c r="J35" i="1" s="1"/>
  <c r="I35" i="1"/>
  <c r="L35" i="1" s="1"/>
  <c r="H36" i="1"/>
  <c r="J36" i="1" s="1"/>
  <c r="I36" i="1"/>
  <c r="I29" i="1"/>
  <c r="H29" i="1"/>
  <c r="F30" i="1"/>
  <c r="F31" i="1"/>
  <c r="F32" i="1"/>
  <c r="F33" i="1"/>
  <c r="F34" i="1"/>
  <c r="F35" i="1"/>
  <c r="F36" i="1"/>
  <c r="F29" i="1"/>
  <c r="E30" i="1"/>
  <c r="E31" i="1"/>
  <c r="E32" i="1"/>
  <c r="E33" i="1"/>
  <c r="E34" i="1"/>
  <c r="E35" i="1"/>
  <c r="E36" i="1"/>
  <c r="E29" i="1"/>
  <c r="O24" i="1"/>
  <c r="M24" i="1"/>
  <c r="M25" i="1" s="1"/>
  <c r="K24" i="1"/>
  <c r="K25" i="1" s="1"/>
  <c r="I24" i="1"/>
  <c r="G24" i="1"/>
  <c r="G25" i="1" s="1"/>
  <c r="E24" i="1"/>
  <c r="C24" i="1"/>
  <c r="I37" i="1" l="1"/>
  <c r="L29" i="1"/>
  <c r="J30" i="1"/>
  <c r="L31" i="1"/>
  <c r="E25" i="1"/>
  <c r="I25" i="1"/>
  <c r="O25" i="1"/>
  <c r="J29" i="1"/>
</calcChain>
</file>

<file path=xl/sharedStrings.xml><?xml version="1.0" encoding="utf-8"?>
<sst xmlns="http://schemas.openxmlformats.org/spreadsheetml/2006/main" count="74" uniqueCount="49">
  <si>
    <t>Total</t>
  </si>
  <si>
    <t>L</t>
  </si>
  <si>
    <t>U</t>
  </si>
  <si>
    <t>MSM</t>
  </si>
  <si>
    <t>CIP-NS, TET-S, CRO-S</t>
  </si>
  <si>
    <t>CIP-S, TET-S, CRO-NS</t>
  </si>
  <si>
    <t>CIP-NS, TET-NS, CRO-S</t>
  </si>
  <si>
    <t>CIP-NS, TET-S, CRO-NS</t>
  </si>
  <si>
    <t>CIP-S, TET-NS, CRO-NS</t>
  </si>
  <si>
    <t>CIP-NS, TET-NS, CRO-NS</t>
  </si>
  <si>
    <t>CIP-S, TET-S, CRO-S</t>
  </si>
  <si>
    <t>CIP-S, TET-S, CRO-S (%)</t>
  </si>
  <si>
    <t>CIP-S, TET-NS, CRO-S</t>
  </si>
  <si>
    <t>CIP-S, TET-NS, CRO-S (%)</t>
  </si>
  <si>
    <t>CIP-S, TET-NS, CRO-NS (%)</t>
  </si>
  <si>
    <t>CIP-NS, TET-NS, CRO-S (%)</t>
  </si>
  <si>
    <t>CIP-NS, TET-NS, CRO-NS (%)</t>
  </si>
  <si>
    <t>Average</t>
  </si>
  <si>
    <t>Error</t>
  </si>
  <si>
    <t>(L, U)</t>
  </si>
  <si>
    <t>Mean (L, U)</t>
  </si>
  <si>
    <t>Mean</t>
  </si>
  <si>
    <t>CIP-NS, TET-S, CRO-S (%)</t>
  </si>
  <si>
    <t>https://www.statista.com/statistics/241488/population-of-the-us-by-sex-and-age/</t>
  </si>
  <si>
    <t>Population of the United States by sex and age 2020</t>
  </si>
  <si>
    <t>Resident population of the United States by sex and age as of July 1, 2020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</si>
  <si>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</si>
  <si>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</si>
  <si>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</si>
  <si>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</si>
  <si>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</si>
  <si>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</si>
  <si>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</si>
  <si>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</si>
  <si>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</si>
  <si>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</si>
  <si>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</si>
  <si>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</si>
  <si>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</si>
  <si>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</si>
  <si>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</si>
  <si>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</si>
  <si>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</si>
  <si>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</si>
  <si>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</si>
  <si>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</si>
  <si>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https://www.ncbi.nlm.nih.gov/pmc/articles/PMC4873305/</t>
  </si>
  <si>
    <t>MSM population</t>
  </si>
  <si>
    <t>MSM population sexually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</si>
</sst>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wrapText="1"/>
    </xf>
    <xf numFmtId="164" fontId="0" fillId="2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/>
    <xf numFmtId="0" fontId="0" fillId="3" borderId="3" xfId="0" applyFill="1" applyBorder="1"/>
    <xf numFmtId="0" fontId="0" fillId="3" borderId="0" xfId="0" applyFill="1" applyBorder="1"/>
    <xf numFmtId="10" fontId="0" fillId="3" borderId="0" xfId="0" applyNumberFormat="1" applyFill="1" applyBorder="1"/>
    <xf numFmtId="10" fontId="0" fillId="3" borderId="4" xfId="0" applyNumberFormat="1" applyFill="1" applyBorder="1"/>
    <xf numFmtId="0" fontId="0" fillId="3" borderId="5" xfId="0" applyFill="1" applyBorder="1"/>
    <xf numFmtId="0" fontId="0" fillId="3" borderId="1" xfId="0" applyFill="1" applyBorder="1"/>
    <xf numFmtId="10" fontId="0" fillId="3" borderId="1" xfId="0" applyNumberFormat="1" applyFill="1" applyBorder="1"/>
    <xf numFmtId="10" fontId="0" fillId="3" borderId="6" xfId="0" applyNumberForma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8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2:P37"/>
  <sheetViews>
    <sheetView showGridLines="0" tabSelected="1" topLeftCell="A7" workbookViewId="0">
      <selection activeCell="J24" sqref="J24"/>
    </sheetView>
  </sheetViews>
  <sheetFormatPr defaultRowHeight="15" x14ac:dyDescent="0.25"/>
  <cols>
    <col min="1" max="1" width="3.42578125" customWidth="1"/>
    <col min="4" max="4" width="23.5703125" customWidth="1"/>
  </cols>
  <sheetData>
    <row r="2" spans="1:16" ht="60" x14ac:dyDescent="0.25">
      <c r="B2" s="16"/>
      <c r="C2" s="17"/>
      <c r="D2" s="17"/>
      <c r="E2" s="18" t="s">
        <v>10</v>
      </c>
      <c r="F2" s="18" t="s">
        <v>11</v>
      </c>
      <c r="G2" s="18" t="s">
        <v>12</v>
      </c>
      <c r="H2" s="18" t="s">
        <v>13</v>
      </c>
      <c r="I2" s="18" t="s">
        <v>4</v>
      </c>
      <c r="J2" s="18" t="s">
        <v>22</v>
      </c>
      <c r="K2" s="18" t="s">
        <v>6</v>
      </c>
      <c r="L2" s="18" t="s">
        <v>15</v>
      </c>
      <c r="M2" s="18" t="s">
        <v>8</v>
      </c>
      <c r="N2" s="18" t="s">
        <v>14</v>
      </c>
      <c r="O2" s="18" t="s">
        <v>9</v>
      </c>
      <c r="P2" s="19" t="s">
        <v>16</v>
      </c>
    </row>
    <row r="3" spans="1:16" x14ac:dyDescent="0.25">
      <c r="A3">
        <v>2</v>
      </c>
      <c r="B3" s="8">
        <v>2000</v>
      </c>
      <c r="C3" s="9">
        <v>536</v>
      </c>
      <c r="D3" s="9" t="s">
        <v>3</v>
      </c>
      <c r="E3" s="9">
        <v>52</v>
      </c>
      <c r="F3" s="10">
        <v>9.7000000000000003E-2</v>
      </c>
      <c r="G3" s="9">
        <v>450</v>
      </c>
      <c r="H3" s="10">
        <v>0.83960000000000001</v>
      </c>
      <c r="I3" s="9">
        <v>0</v>
      </c>
      <c r="J3" s="10">
        <v>0</v>
      </c>
      <c r="K3" s="9">
        <v>34</v>
      </c>
      <c r="L3" s="10">
        <v>6.3399999999999998E-2</v>
      </c>
      <c r="M3" s="9">
        <v>0</v>
      </c>
      <c r="N3" s="10">
        <v>0</v>
      </c>
      <c r="O3" s="9">
        <v>0</v>
      </c>
      <c r="P3" s="11">
        <v>0</v>
      </c>
    </row>
    <row r="4" spans="1:16" x14ac:dyDescent="0.25">
      <c r="A4">
        <v>3</v>
      </c>
      <c r="B4" s="8">
        <v>2001</v>
      </c>
      <c r="C4" s="9">
        <v>693</v>
      </c>
      <c r="D4" s="9" t="s">
        <v>3</v>
      </c>
      <c r="E4" s="9">
        <v>127</v>
      </c>
      <c r="F4" s="10">
        <v>0.18329999999999999</v>
      </c>
      <c r="G4" s="9">
        <v>505</v>
      </c>
      <c r="H4" s="10">
        <v>0.72870000000000001</v>
      </c>
      <c r="I4" s="9">
        <v>2</v>
      </c>
      <c r="J4" s="10">
        <v>2.8999999999999998E-3</v>
      </c>
      <c r="K4" s="9">
        <v>58</v>
      </c>
      <c r="L4" s="10">
        <v>8.3699999999999997E-2</v>
      </c>
      <c r="M4" s="9">
        <v>0</v>
      </c>
      <c r="N4" s="10">
        <v>0</v>
      </c>
      <c r="O4" s="9">
        <v>0</v>
      </c>
      <c r="P4" s="11">
        <v>0</v>
      </c>
    </row>
    <row r="5" spans="1:16" x14ac:dyDescent="0.25">
      <c r="A5">
        <v>4</v>
      </c>
      <c r="B5" s="8">
        <v>2002</v>
      </c>
      <c r="C5" s="9">
        <v>841</v>
      </c>
      <c r="D5" s="9" t="s">
        <v>3</v>
      </c>
      <c r="E5" s="9">
        <v>176</v>
      </c>
      <c r="F5" s="10">
        <v>0.20930000000000001</v>
      </c>
      <c r="G5" s="9">
        <v>550</v>
      </c>
      <c r="H5" s="10">
        <v>0.65400000000000003</v>
      </c>
      <c r="I5" s="9">
        <v>0</v>
      </c>
      <c r="J5" s="10">
        <v>0</v>
      </c>
      <c r="K5" s="9">
        <v>115</v>
      </c>
      <c r="L5" s="10">
        <v>0.13669999999999999</v>
      </c>
      <c r="M5" s="9">
        <v>0</v>
      </c>
      <c r="N5" s="10">
        <v>0</v>
      </c>
      <c r="O5" s="9">
        <v>0</v>
      </c>
      <c r="P5" s="11">
        <v>0</v>
      </c>
    </row>
    <row r="6" spans="1:16" x14ac:dyDescent="0.25">
      <c r="A6">
        <v>5</v>
      </c>
      <c r="B6" s="8">
        <v>2003</v>
      </c>
      <c r="C6" s="9">
        <v>1060</v>
      </c>
      <c r="D6" s="9" t="s">
        <v>3</v>
      </c>
      <c r="E6" s="9">
        <v>201</v>
      </c>
      <c r="F6" s="10">
        <v>0.18959999999999999</v>
      </c>
      <c r="G6" s="9">
        <v>670</v>
      </c>
      <c r="H6" s="10">
        <v>0.6321</v>
      </c>
      <c r="I6" s="9">
        <v>0</v>
      </c>
      <c r="J6" s="10">
        <v>0</v>
      </c>
      <c r="K6" s="9">
        <v>189</v>
      </c>
      <c r="L6" s="10">
        <v>0.17829999999999999</v>
      </c>
      <c r="M6" s="9">
        <v>0</v>
      </c>
      <c r="N6" s="10">
        <v>0</v>
      </c>
      <c r="O6" s="9">
        <v>0</v>
      </c>
      <c r="P6" s="11">
        <v>0</v>
      </c>
    </row>
    <row r="7" spans="1:16" x14ac:dyDescent="0.25">
      <c r="A7">
        <v>6</v>
      </c>
      <c r="B7" s="8">
        <v>2004</v>
      </c>
      <c r="C7" s="9">
        <v>1006</v>
      </c>
      <c r="D7" s="9" t="s">
        <v>3</v>
      </c>
      <c r="E7" s="9">
        <v>163</v>
      </c>
      <c r="F7" s="10">
        <v>0.16200000000000001</v>
      </c>
      <c r="G7" s="9">
        <v>567</v>
      </c>
      <c r="H7" s="10">
        <v>0.56359999999999999</v>
      </c>
      <c r="I7" s="9">
        <v>6</v>
      </c>
      <c r="J7" s="10">
        <v>6.0000000000000001E-3</v>
      </c>
      <c r="K7" s="9">
        <v>270</v>
      </c>
      <c r="L7" s="10">
        <v>0.26840000000000003</v>
      </c>
      <c r="M7" s="9">
        <v>0</v>
      </c>
      <c r="N7" s="10">
        <v>0</v>
      </c>
      <c r="O7" s="9">
        <v>0</v>
      </c>
      <c r="P7" s="11">
        <v>0</v>
      </c>
    </row>
    <row r="8" spans="1:16" x14ac:dyDescent="0.25">
      <c r="A8">
        <v>7</v>
      </c>
      <c r="B8" s="8">
        <v>2005</v>
      </c>
      <c r="C8" s="9">
        <v>1140</v>
      </c>
      <c r="D8" s="9" t="s">
        <v>3</v>
      </c>
      <c r="E8" s="9">
        <v>167</v>
      </c>
      <c r="F8" s="10">
        <v>0.14649999999999999</v>
      </c>
      <c r="G8" s="9">
        <v>619</v>
      </c>
      <c r="H8" s="10">
        <v>0.54300000000000004</v>
      </c>
      <c r="I8" s="9">
        <v>6</v>
      </c>
      <c r="J8" s="10">
        <v>5.3E-3</v>
      </c>
      <c r="K8" s="9">
        <v>348</v>
      </c>
      <c r="L8" s="10">
        <v>0.30530000000000002</v>
      </c>
      <c r="M8" s="9">
        <v>0</v>
      </c>
      <c r="N8" s="10">
        <v>0</v>
      </c>
      <c r="O8" s="9">
        <v>0</v>
      </c>
      <c r="P8" s="11">
        <v>0</v>
      </c>
    </row>
    <row r="9" spans="1:16" x14ac:dyDescent="0.25">
      <c r="A9">
        <v>8</v>
      </c>
      <c r="B9" s="8">
        <v>2006</v>
      </c>
      <c r="C9" s="9">
        <v>1098</v>
      </c>
      <c r="D9" s="9" t="s">
        <v>3</v>
      </c>
      <c r="E9" s="9">
        <v>128</v>
      </c>
      <c r="F9" s="10">
        <v>0.1166</v>
      </c>
      <c r="G9" s="9">
        <v>525</v>
      </c>
      <c r="H9" s="10">
        <v>0.47810000000000002</v>
      </c>
      <c r="I9" s="9">
        <v>2</v>
      </c>
      <c r="J9" s="10">
        <v>1.8E-3</v>
      </c>
      <c r="K9" s="9">
        <v>443</v>
      </c>
      <c r="L9" s="10">
        <v>0.40350000000000003</v>
      </c>
      <c r="M9" s="9">
        <v>0</v>
      </c>
      <c r="N9" s="10">
        <v>0</v>
      </c>
      <c r="O9" s="9">
        <v>0</v>
      </c>
      <c r="P9" s="11">
        <v>0</v>
      </c>
    </row>
    <row r="10" spans="1:16" x14ac:dyDescent="0.25">
      <c r="A10">
        <v>9</v>
      </c>
      <c r="B10" s="8">
        <v>2007</v>
      </c>
      <c r="C10" s="9">
        <v>1062</v>
      </c>
      <c r="D10" s="9" t="s">
        <v>3</v>
      </c>
      <c r="E10" s="9">
        <v>147</v>
      </c>
      <c r="F10" s="10">
        <v>0.1384</v>
      </c>
      <c r="G10" s="9">
        <v>510</v>
      </c>
      <c r="H10" s="10">
        <v>0.48020000000000002</v>
      </c>
      <c r="I10" s="9">
        <v>3</v>
      </c>
      <c r="J10" s="10">
        <v>2.8E-3</v>
      </c>
      <c r="K10" s="9">
        <v>402</v>
      </c>
      <c r="L10" s="10">
        <v>0.3785</v>
      </c>
      <c r="M10" s="9">
        <v>0</v>
      </c>
      <c r="N10" s="10">
        <v>0</v>
      </c>
      <c r="O10" s="9">
        <v>0</v>
      </c>
      <c r="P10" s="11">
        <v>0</v>
      </c>
    </row>
    <row r="11" spans="1:16" x14ac:dyDescent="0.25">
      <c r="A11">
        <v>10</v>
      </c>
      <c r="B11" s="8">
        <v>2008</v>
      </c>
      <c r="C11" s="9">
        <v>949</v>
      </c>
      <c r="D11" s="9" t="s">
        <v>3</v>
      </c>
      <c r="E11" s="9">
        <v>157</v>
      </c>
      <c r="F11" s="10">
        <v>0.16539999999999999</v>
      </c>
      <c r="G11" s="9">
        <v>453</v>
      </c>
      <c r="H11" s="10">
        <v>0.4773</v>
      </c>
      <c r="I11" s="9">
        <v>4</v>
      </c>
      <c r="J11" s="10">
        <v>4.1999999999999997E-3</v>
      </c>
      <c r="K11" s="9">
        <v>333</v>
      </c>
      <c r="L11" s="10">
        <v>0.35089999999999999</v>
      </c>
      <c r="M11" s="9">
        <v>0</v>
      </c>
      <c r="N11" s="10">
        <v>0</v>
      </c>
      <c r="O11" s="9">
        <v>0</v>
      </c>
      <c r="P11" s="11">
        <v>0</v>
      </c>
    </row>
    <row r="12" spans="1:16" x14ac:dyDescent="0.25">
      <c r="A12">
        <v>11</v>
      </c>
      <c r="B12" s="8">
        <v>2009</v>
      </c>
      <c r="C12" s="9">
        <v>1182</v>
      </c>
      <c r="D12" s="9" t="s">
        <v>3</v>
      </c>
      <c r="E12" s="9">
        <v>179</v>
      </c>
      <c r="F12" s="10">
        <v>0.15140000000000001</v>
      </c>
      <c r="G12" s="9">
        <v>742</v>
      </c>
      <c r="H12" s="10">
        <v>0.62770000000000004</v>
      </c>
      <c r="I12" s="9">
        <v>6</v>
      </c>
      <c r="J12" s="10">
        <v>5.1000000000000004E-3</v>
      </c>
      <c r="K12" s="9">
        <v>250</v>
      </c>
      <c r="L12" s="10">
        <v>0.21149999999999999</v>
      </c>
      <c r="M12" s="9">
        <v>0</v>
      </c>
      <c r="N12" s="10">
        <v>0</v>
      </c>
      <c r="O12" s="9">
        <v>0</v>
      </c>
      <c r="P12" s="11">
        <v>0</v>
      </c>
    </row>
    <row r="13" spans="1:16" x14ac:dyDescent="0.25">
      <c r="A13">
        <v>12</v>
      </c>
      <c r="B13" s="8">
        <v>2010</v>
      </c>
      <c r="C13" s="9">
        <v>1368</v>
      </c>
      <c r="D13" s="9" t="s">
        <v>3</v>
      </c>
      <c r="E13" s="9">
        <v>159</v>
      </c>
      <c r="F13" s="10">
        <v>0.1162</v>
      </c>
      <c r="G13" s="9">
        <v>833</v>
      </c>
      <c r="H13" s="10">
        <v>0.6089</v>
      </c>
      <c r="I13" s="9">
        <v>3</v>
      </c>
      <c r="J13" s="10">
        <v>2.2000000000000001E-3</v>
      </c>
      <c r="K13" s="9">
        <v>367</v>
      </c>
      <c r="L13" s="10">
        <v>0.26829999999999998</v>
      </c>
      <c r="M13" s="9">
        <v>0</v>
      </c>
      <c r="N13" s="10">
        <v>0</v>
      </c>
      <c r="O13" s="9">
        <v>0</v>
      </c>
      <c r="P13" s="11">
        <v>0</v>
      </c>
    </row>
    <row r="14" spans="1:16" x14ac:dyDescent="0.25">
      <c r="A14">
        <v>13</v>
      </c>
      <c r="B14" s="8">
        <v>2011</v>
      </c>
      <c r="C14" s="9">
        <v>1365</v>
      </c>
      <c r="D14" s="9" t="s">
        <v>3</v>
      </c>
      <c r="E14" s="9">
        <v>163</v>
      </c>
      <c r="F14" s="10">
        <v>0.11940000000000001</v>
      </c>
      <c r="G14" s="9">
        <v>796</v>
      </c>
      <c r="H14" s="10">
        <v>0.58320000000000005</v>
      </c>
      <c r="I14" s="9">
        <v>7</v>
      </c>
      <c r="J14" s="10">
        <v>5.1000000000000004E-3</v>
      </c>
      <c r="K14" s="9">
        <v>398</v>
      </c>
      <c r="L14" s="10">
        <v>0.29160000000000003</v>
      </c>
      <c r="M14" s="9">
        <v>0</v>
      </c>
      <c r="N14" s="10">
        <v>0</v>
      </c>
      <c r="O14" s="9">
        <v>0</v>
      </c>
      <c r="P14" s="11">
        <v>0</v>
      </c>
    </row>
    <row r="15" spans="1:16" x14ac:dyDescent="0.25">
      <c r="A15">
        <v>14</v>
      </c>
      <c r="B15" s="8">
        <v>2012</v>
      </c>
      <c r="C15" s="9">
        <v>1514</v>
      </c>
      <c r="D15" s="9" t="s">
        <v>3</v>
      </c>
      <c r="E15" s="9">
        <v>196</v>
      </c>
      <c r="F15" s="10">
        <v>0.1295</v>
      </c>
      <c r="G15" s="9">
        <v>873</v>
      </c>
      <c r="H15" s="10">
        <v>0.5766</v>
      </c>
      <c r="I15" s="9">
        <v>7</v>
      </c>
      <c r="J15" s="10">
        <v>4.5999999999999999E-3</v>
      </c>
      <c r="K15" s="9">
        <v>437</v>
      </c>
      <c r="L15" s="10">
        <v>0.28860000000000002</v>
      </c>
      <c r="M15" s="9">
        <v>0</v>
      </c>
      <c r="N15" s="10">
        <v>0</v>
      </c>
      <c r="O15" s="9">
        <v>0</v>
      </c>
      <c r="P15" s="11">
        <v>0</v>
      </c>
    </row>
    <row r="16" spans="1:16" x14ac:dyDescent="0.25">
      <c r="A16">
        <v>15</v>
      </c>
      <c r="B16" s="8">
        <v>2013</v>
      </c>
      <c r="C16" s="9">
        <v>1775</v>
      </c>
      <c r="D16" s="9" t="s">
        <v>3</v>
      </c>
      <c r="E16" s="9">
        <v>222</v>
      </c>
      <c r="F16" s="10">
        <v>0.12509999999999999</v>
      </c>
      <c r="G16" s="9">
        <v>1026</v>
      </c>
      <c r="H16" s="10">
        <v>0.57799999999999996</v>
      </c>
      <c r="I16" s="9">
        <v>8</v>
      </c>
      <c r="J16" s="10">
        <v>4.4999999999999997E-3</v>
      </c>
      <c r="K16" s="9">
        <v>515</v>
      </c>
      <c r="L16" s="10">
        <v>0.29010000000000002</v>
      </c>
      <c r="M16" s="9">
        <v>0</v>
      </c>
      <c r="N16" s="10">
        <v>0</v>
      </c>
      <c r="O16" s="9">
        <v>0</v>
      </c>
      <c r="P16" s="11">
        <v>0</v>
      </c>
    </row>
    <row r="17" spans="1:16" x14ac:dyDescent="0.25">
      <c r="A17">
        <v>16</v>
      </c>
      <c r="B17" s="8">
        <v>2014</v>
      </c>
      <c r="C17" s="9">
        <v>1615</v>
      </c>
      <c r="D17" s="9" t="s">
        <v>3</v>
      </c>
      <c r="E17" s="9">
        <v>181</v>
      </c>
      <c r="F17" s="10">
        <v>0.11210000000000001</v>
      </c>
      <c r="G17" s="9">
        <v>934</v>
      </c>
      <c r="H17" s="10">
        <v>0.57830000000000004</v>
      </c>
      <c r="I17" s="9">
        <v>4</v>
      </c>
      <c r="J17" s="10">
        <v>2.5000000000000001E-3</v>
      </c>
      <c r="K17" s="9">
        <v>489</v>
      </c>
      <c r="L17" s="10">
        <v>0.30280000000000001</v>
      </c>
      <c r="M17" s="9">
        <v>0</v>
      </c>
      <c r="N17" s="10">
        <v>0</v>
      </c>
      <c r="O17" s="9">
        <v>0</v>
      </c>
      <c r="P17" s="11">
        <v>0</v>
      </c>
    </row>
    <row r="18" spans="1:16" x14ac:dyDescent="0.25">
      <c r="A18">
        <v>17</v>
      </c>
      <c r="B18" s="8">
        <v>2015</v>
      </c>
      <c r="C18" s="9">
        <v>1659</v>
      </c>
      <c r="D18" s="9" t="s">
        <v>3</v>
      </c>
      <c r="E18" s="9">
        <v>148</v>
      </c>
      <c r="F18" s="10">
        <v>8.9200000000000002E-2</v>
      </c>
      <c r="G18" s="9">
        <v>942</v>
      </c>
      <c r="H18" s="10">
        <v>0.56779999999999997</v>
      </c>
      <c r="I18" s="9">
        <v>10</v>
      </c>
      <c r="J18" s="10">
        <v>6.0000000000000001E-3</v>
      </c>
      <c r="K18" s="9">
        <v>556</v>
      </c>
      <c r="L18" s="10">
        <v>0.33510000000000001</v>
      </c>
      <c r="M18" s="9">
        <v>0</v>
      </c>
      <c r="N18" s="10">
        <v>0</v>
      </c>
      <c r="O18" s="9">
        <v>0</v>
      </c>
      <c r="P18" s="11">
        <v>0</v>
      </c>
    </row>
    <row r="19" spans="1:16" x14ac:dyDescent="0.25">
      <c r="A19">
        <v>18</v>
      </c>
      <c r="B19" s="8">
        <v>2016</v>
      </c>
      <c r="C19" s="9">
        <v>1668</v>
      </c>
      <c r="D19" s="9" t="s">
        <v>3</v>
      </c>
      <c r="E19" s="9">
        <v>117</v>
      </c>
      <c r="F19" s="10">
        <v>7.0099999999999996E-2</v>
      </c>
      <c r="G19" s="9">
        <v>897</v>
      </c>
      <c r="H19" s="10">
        <v>0.53779999999999994</v>
      </c>
      <c r="I19" s="9">
        <v>5</v>
      </c>
      <c r="J19" s="10">
        <v>3.0000000000000001E-3</v>
      </c>
      <c r="K19" s="9">
        <v>645</v>
      </c>
      <c r="L19" s="10">
        <v>0.38669999999999999</v>
      </c>
      <c r="M19" s="9">
        <v>0</v>
      </c>
      <c r="N19" s="10">
        <v>0</v>
      </c>
      <c r="O19" s="9">
        <v>0</v>
      </c>
      <c r="P19" s="11">
        <v>0</v>
      </c>
    </row>
    <row r="20" spans="1:16" x14ac:dyDescent="0.25">
      <c r="A20">
        <v>19</v>
      </c>
      <c r="B20" s="8">
        <v>2017</v>
      </c>
      <c r="C20" s="9">
        <v>1641</v>
      </c>
      <c r="D20" s="9" t="s">
        <v>3</v>
      </c>
      <c r="E20" s="9">
        <v>119</v>
      </c>
      <c r="F20" s="10">
        <v>7.2499999999999995E-2</v>
      </c>
      <c r="G20" s="9">
        <v>838</v>
      </c>
      <c r="H20" s="10">
        <v>0.51070000000000004</v>
      </c>
      <c r="I20" s="9">
        <v>7</v>
      </c>
      <c r="J20" s="10">
        <v>4.3E-3</v>
      </c>
      <c r="K20" s="9">
        <v>677</v>
      </c>
      <c r="L20" s="10">
        <v>0.41260000000000002</v>
      </c>
      <c r="M20" s="9">
        <v>0</v>
      </c>
      <c r="N20" s="10">
        <v>0</v>
      </c>
      <c r="O20" s="9">
        <v>0</v>
      </c>
      <c r="P20" s="11">
        <v>0</v>
      </c>
    </row>
    <row r="21" spans="1:16" x14ac:dyDescent="0.25">
      <c r="A21">
        <v>20</v>
      </c>
      <c r="B21" s="8">
        <v>2018</v>
      </c>
      <c r="C21" s="9">
        <v>1548</v>
      </c>
      <c r="D21" s="9" t="s">
        <v>3</v>
      </c>
      <c r="E21" s="9">
        <v>131</v>
      </c>
      <c r="F21" s="10">
        <v>8.4599999999999995E-2</v>
      </c>
      <c r="G21" s="9">
        <v>752</v>
      </c>
      <c r="H21" s="10">
        <v>0.48580000000000001</v>
      </c>
      <c r="I21" s="9">
        <v>24</v>
      </c>
      <c r="J21" s="10">
        <v>1.55E-2</v>
      </c>
      <c r="K21" s="9">
        <v>641</v>
      </c>
      <c r="L21" s="10">
        <v>0.41410000000000002</v>
      </c>
      <c r="M21" s="9">
        <v>0</v>
      </c>
      <c r="N21" s="10">
        <v>0</v>
      </c>
      <c r="O21" s="9">
        <v>0</v>
      </c>
      <c r="P21" s="11">
        <v>0</v>
      </c>
    </row>
    <row r="22" spans="1:16" x14ac:dyDescent="0.25">
      <c r="A22">
        <v>21</v>
      </c>
      <c r="B22" s="12">
        <v>2019</v>
      </c>
      <c r="C22" s="13">
        <v>1442</v>
      </c>
      <c r="D22" s="13" t="s">
        <v>3</v>
      </c>
      <c r="E22" s="13">
        <v>105</v>
      </c>
      <c r="F22" s="14">
        <v>7.2800000000000004E-2</v>
      </c>
      <c r="G22" s="13">
        <v>635</v>
      </c>
      <c r="H22" s="14">
        <v>0.44040000000000001</v>
      </c>
      <c r="I22" s="13">
        <v>28</v>
      </c>
      <c r="J22" s="14">
        <v>1.9400000000000001E-2</v>
      </c>
      <c r="K22" s="13">
        <v>672</v>
      </c>
      <c r="L22" s="14">
        <v>0.46600000000000003</v>
      </c>
      <c r="M22" s="13">
        <v>0</v>
      </c>
      <c r="N22" s="14">
        <v>0</v>
      </c>
      <c r="O22" s="13">
        <v>0</v>
      </c>
      <c r="P22" s="15">
        <v>0</v>
      </c>
    </row>
    <row r="23" spans="1:16" x14ac:dyDescent="0.25">
      <c r="A23">
        <v>22</v>
      </c>
    </row>
    <row r="24" spans="1:16" x14ac:dyDescent="0.25">
      <c r="A24">
        <v>23</v>
      </c>
      <c r="B24" t="s">
        <v>0</v>
      </c>
      <c r="C24">
        <f>SUM(C3:C22)</f>
        <v>25162</v>
      </c>
      <c r="E24">
        <f>SUM(E3:E22)</f>
        <v>3038</v>
      </c>
      <c r="G24">
        <f>SUM(G3:G22)</f>
        <v>14117</v>
      </c>
      <c r="I24">
        <f>SUM(I3:I22)</f>
        <v>132</v>
      </c>
      <c r="K24">
        <f>SUM(K3:K22)</f>
        <v>7839</v>
      </c>
      <c r="M24">
        <f>SUM(M3:M22)</f>
        <v>0</v>
      </c>
      <c r="O24">
        <f>SUM(O3:O22)</f>
        <v>0</v>
      </c>
    </row>
    <row r="25" spans="1:16" x14ac:dyDescent="0.25">
      <c r="A25">
        <v>24</v>
      </c>
      <c r="B25" t="s">
        <v>17</v>
      </c>
      <c r="E25" s="4">
        <f>E24/$C$24</f>
        <v>0.12073762022096812</v>
      </c>
      <c r="F25" s="4"/>
      <c r="G25" s="4">
        <f>G24/$C$24</f>
        <v>0.56104443208012078</v>
      </c>
      <c r="H25" s="4"/>
      <c r="I25" s="4">
        <f>I24/$C$24</f>
        <v>5.2460058818853831E-3</v>
      </c>
      <c r="J25" s="4"/>
      <c r="K25" s="4">
        <f>K24/$C$24</f>
        <v>0.31154121294014786</v>
      </c>
      <c r="L25" s="4"/>
      <c r="M25" s="4">
        <f>M24/$C$24</f>
        <v>0</v>
      </c>
      <c r="N25" s="4"/>
      <c r="O25" s="4">
        <f>O24/$C$24</f>
        <v>0</v>
      </c>
      <c r="P25" s="4"/>
    </row>
    <row r="28" spans="1:16" x14ac:dyDescent="0.25">
      <c r="D28" s="7"/>
      <c r="E28" s="7" t="s">
        <v>21</v>
      </c>
      <c r="F28" s="7"/>
      <c r="G28" s="3" t="s">
        <v>18</v>
      </c>
      <c r="H28" s="3" t="s">
        <v>1</v>
      </c>
      <c r="I28" s="3" t="s">
        <v>2</v>
      </c>
      <c r="J28" s="28" t="s">
        <v>19</v>
      </c>
      <c r="K28" s="28"/>
      <c r="L28" s="7" t="s">
        <v>20</v>
      </c>
    </row>
    <row r="29" spans="1:16" x14ac:dyDescent="0.25">
      <c r="D29" s="1" t="s">
        <v>4</v>
      </c>
      <c r="E29" s="5">
        <f>HLOOKUP(D29,E$2:$P$25,24,FALSE)</f>
        <v>5.2460058818853831E-3</v>
      </c>
      <c r="F29" s="5">
        <f>_xlfn.IFNA(E29,0)</f>
        <v>5.2460058818853831E-3</v>
      </c>
      <c r="G29" s="2">
        <v>0.5</v>
      </c>
      <c r="H29" s="6">
        <f>(1-G29)*F29</f>
        <v>2.6230029409426915E-3</v>
      </c>
      <c r="I29" s="6">
        <f>(1+G29)*F29</f>
        <v>7.869008822828075E-3</v>
      </c>
      <c r="J29" s="29" t="str">
        <f>"("&amp;TEXT(H29,"#0.000") &amp;", " &amp; TEXT(I29,"#0.000")&amp;")"</f>
        <v>(0.003, 0.008)</v>
      </c>
      <c r="K29" s="29"/>
      <c r="L29" t="str">
        <f>TEXT(F29*100,"#0.0")&amp;", "&amp;TEXT(H29*100,"#0.0") &amp;", " &amp; TEXT(I29*100,"#0.0")</f>
        <v>0.5, 0.3, 0.8</v>
      </c>
    </row>
    <row r="30" spans="1:16" s="1" customFormat="1" x14ac:dyDescent="0.25">
      <c r="D30" s="1" t="s">
        <v>12</v>
      </c>
      <c r="E30" s="5">
        <f>HLOOKUP(D30,E$2:$P$25,24,FALSE)</f>
        <v>0.56104443208012078</v>
      </c>
      <c r="F30" s="5">
        <f t="shared" ref="F30:F36" si="0">_xlfn.IFNA(E30,0)</f>
        <v>0.56104443208012078</v>
      </c>
      <c r="G30" s="2">
        <v>0.13</v>
      </c>
      <c r="H30" s="6">
        <f t="shared" ref="H30:H36" si="1">(1-G30)*F30</f>
        <v>0.48810865590970509</v>
      </c>
      <c r="I30" s="6">
        <f t="shared" ref="I30:I36" si="2">(1+G30)*F30</f>
        <v>0.63398020825053647</v>
      </c>
      <c r="J30" s="27" t="str">
        <f t="shared" ref="J30:J36" si="3">"("&amp;TEXT(H30,"#0.000") &amp;", " &amp; TEXT(I30,"#0.000")&amp;")"</f>
        <v>(0.488, 0.634)</v>
      </c>
      <c r="K30" s="27"/>
      <c r="L30" t="str">
        <f t="shared" ref="L30:L36" si="4">TEXT(F30*100,"#0.0")&amp;", "&amp;TEXT(H30*100,"#0.0") &amp;", " &amp; TEXT(I30*100,"#0.0")</f>
        <v>56.1, 48.8, 63.4</v>
      </c>
    </row>
    <row r="31" spans="1:16" x14ac:dyDescent="0.25">
      <c r="D31" s="1" t="s">
        <v>5</v>
      </c>
      <c r="E31" s="5" t="e">
        <f>HLOOKUP(D31,E$2:$P$25,24,FALSE)</f>
        <v>#N/A</v>
      </c>
      <c r="F31" s="5">
        <f t="shared" si="0"/>
        <v>0</v>
      </c>
      <c r="G31" s="2">
        <v>0.13</v>
      </c>
      <c r="H31" s="6">
        <f t="shared" si="1"/>
        <v>0</v>
      </c>
      <c r="I31" s="6">
        <f t="shared" si="2"/>
        <v>0</v>
      </c>
      <c r="J31" s="27" t="str">
        <f t="shared" si="3"/>
        <v>(0.000, 0.000)</v>
      </c>
      <c r="K31" s="27"/>
      <c r="L31" t="str">
        <f t="shared" si="4"/>
        <v>0.0, 0.0, 0.0</v>
      </c>
    </row>
    <row r="32" spans="1:16" x14ac:dyDescent="0.25">
      <c r="D32" s="1" t="s">
        <v>6</v>
      </c>
      <c r="E32" s="5">
        <f>HLOOKUP(D32,E$2:$P$25,24,FALSE)</f>
        <v>0.31154121294014786</v>
      </c>
      <c r="F32" s="5">
        <f t="shared" si="0"/>
        <v>0.31154121294014786</v>
      </c>
      <c r="G32" s="2">
        <v>0.13</v>
      </c>
      <c r="H32" s="6">
        <f t="shared" si="1"/>
        <v>0.27104085525792865</v>
      </c>
      <c r="I32" s="6">
        <f t="shared" si="2"/>
        <v>0.35204157062236707</v>
      </c>
      <c r="J32" s="27" t="str">
        <f t="shared" si="3"/>
        <v>(0.271, 0.352)</v>
      </c>
      <c r="K32" s="27"/>
      <c r="L32" t="str">
        <f t="shared" si="4"/>
        <v>31.2, 27.1, 35.2</v>
      </c>
    </row>
    <row r="33" spans="4:12" x14ac:dyDescent="0.25">
      <c r="D33" s="1" t="s">
        <v>7</v>
      </c>
      <c r="E33" s="5" t="e">
        <f>HLOOKUP(D33,E$2:$P$25,24,FALSE)</f>
        <v>#N/A</v>
      </c>
      <c r="F33" s="5">
        <f t="shared" si="0"/>
        <v>0</v>
      </c>
      <c r="G33" s="2">
        <v>0.13</v>
      </c>
      <c r="H33" s="6">
        <f t="shared" si="1"/>
        <v>0</v>
      </c>
      <c r="I33" s="6">
        <f t="shared" si="2"/>
        <v>0</v>
      </c>
      <c r="J33" s="27" t="str">
        <f t="shared" si="3"/>
        <v>(0.000, 0.000)</v>
      </c>
      <c r="K33" s="27"/>
      <c r="L33" t="str">
        <f t="shared" si="4"/>
        <v>0.0, 0.0, 0.0</v>
      </c>
    </row>
    <row r="34" spans="4:12" x14ac:dyDescent="0.25">
      <c r="D34" s="1" t="s">
        <v>8</v>
      </c>
      <c r="E34" s="5">
        <f>HLOOKUP(D34,E$2:$P$25,24,FALSE)</f>
        <v>0</v>
      </c>
      <c r="F34" s="5">
        <f t="shared" si="0"/>
        <v>0</v>
      </c>
      <c r="G34" s="2">
        <v>0.13</v>
      </c>
      <c r="H34" s="6">
        <f t="shared" si="1"/>
        <v>0</v>
      </c>
      <c r="I34" s="6">
        <f t="shared" si="2"/>
        <v>0</v>
      </c>
      <c r="J34" s="27" t="str">
        <f t="shared" si="3"/>
        <v>(0.000, 0.000)</v>
      </c>
      <c r="K34" s="27"/>
      <c r="L34" t="str">
        <f t="shared" si="4"/>
        <v>0.0, 0.0, 0.0</v>
      </c>
    </row>
    <row r="35" spans="4:12" x14ac:dyDescent="0.25">
      <c r="D35" s="1" t="s">
        <v>9</v>
      </c>
      <c r="E35" s="5">
        <f>HLOOKUP(D35,E$2:$P$25,24,FALSE)</f>
        <v>0</v>
      </c>
      <c r="F35" s="5">
        <f t="shared" si="0"/>
        <v>0</v>
      </c>
      <c r="G35" s="2">
        <v>0.13</v>
      </c>
      <c r="H35" s="6">
        <f t="shared" si="1"/>
        <v>0</v>
      </c>
      <c r="I35" s="6">
        <f t="shared" si="2"/>
        <v>0</v>
      </c>
      <c r="J35" s="27" t="str">
        <f t="shared" si="3"/>
        <v>(0.000, 0.000)</v>
      </c>
      <c r="K35" s="27"/>
      <c r="L35" t="str">
        <f t="shared" si="4"/>
        <v>0.0, 0.0, 0.0</v>
      </c>
    </row>
    <row r="36" spans="4:12" x14ac:dyDescent="0.25">
      <c r="D36" s="1" t="s">
        <v>10</v>
      </c>
      <c r="E36" s="5">
        <f>HLOOKUP(D36,E$2:$P$25,24,FALSE)</f>
        <v>0.12073762022096812</v>
      </c>
      <c r="F36" s="5">
        <f t="shared" si="0"/>
        <v>0.12073762022096812</v>
      </c>
      <c r="G36" s="2">
        <v>0.13</v>
      </c>
      <c r="H36" s="6">
        <f t="shared" si="1"/>
        <v>0.10504172959224227</v>
      </c>
      <c r="I36" s="6">
        <f t="shared" si="2"/>
        <v>0.13643351084969396</v>
      </c>
      <c r="J36" s="27" t="str">
        <f t="shared" si="3"/>
        <v>(0.105, 0.136)</v>
      </c>
      <c r="K36" s="27"/>
      <c r="L36" t="str">
        <f t="shared" si="4"/>
        <v>12.1, 10.5, 13.6</v>
      </c>
    </row>
    <row r="37" spans="4:12" x14ac:dyDescent="0.25">
      <c r="I37" s="30">
        <f>SUM(I29:I35)</f>
        <v>0.99389078769573158</v>
      </c>
    </row>
  </sheetData>
  <mergeCells count="9">
    <mergeCell ref="J35:K35"/>
    <mergeCell ref="J36:K36"/>
    <mergeCell ref="J28:K28"/>
    <mergeCell ref="J29:K29"/>
    <mergeCell ref="J30:K30"/>
    <mergeCell ref="J31:K31"/>
    <mergeCell ref="J32:K32"/>
    <mergeCell ref="J33:K33"/>
    <mergeCell ref="J34:K3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C988-2908-4DDE-A522-B86533F79F05}">
  <dimension ref="A1:D28"/>
  <sheetViews>
    <sheetView showGridLines="0" workbookViewId="0">
      <selection activeCell="C28" sqref="C28"/>
    </sheetView>
  </sheetViews>
  <sheetFormatPr defaultRowHeight="15" x14ac:dyDescent="0.25"/>
  <cols>
    <col min="2" max="2" width="29.7109375" bestFit="1" customWidth="1"/>
  </cols>
  <sheetData>
    <row r="1" spans="1:4" x14ac:dyDescent="0.25">
      <c r="A1" t="s">
        <v>23</v>
      </c>
    </row>
    <row r="3" spans="1:4" ht="25.5" x14ac:dyDescent="0.25">
      <c r="B3" s="20" t="s">
        <v>24</v>
      </c>
    </row>
    <row r="4" spans="1:4" ht="60" x14ac:dyDescent="0.25">
      <c r="B4" s="21" t="s">
        <v>25</v>
      </c>
    </row>
    <row r="5" spans="1:4" x14ac:dyDescent="0.25">
      <c r="B5" s="7"/>
      <c r="C5" s="24" t="s">
        <v>26</v>
      </c>
      <c r="D5" s="24" t="s">
        <v>27</v>
      </c>
    </row>
    <row r="6" spans="1:4" x14ac:dyDescent="0.25">
      <c r="B6" s="22" t="s">
        <v>28</v>
      </c>
      <c r="C6" s="23">
        <v>9.86</v>
      </c>
      <c r="D6" s="23">
        <v>9.44</v>
      </c>
    </row>
    <row r="7" spans="1:4" x14ac:dyDescent="0.25">
      <c r="B7" s="22" t="s">
        <v>29</v>
      </c>
      <c r="C7" s="23">
        <v>10.35</v>
      </c>
      <c r="D7" s="23">
        <v>9.89</v>
      </c>
    </row>
    <row r="8" spans="1:4" x14ac:dyDescent="0.25">
      <c r="B8" s="22" t="s">
        <v>30</v>
      </c>
      <c r="C8" s="23">
        <v>10.59</v>
      </c>
      <c r="D8" s="23">
        <v>10.16</v>
      </c>
    </row>
    <row r="9" spans="1:4" x14ac:dyDescent="0.25">
      <c r="B9" s="22" t="s">
        <v>31</v>
      </c>
      <c r="C9" s="23">
        <v>10.69</v>
      </c>
      <c r="D9" s="23">
        <v>10.27</v>
      </c>
    </row>
    <row r="10" spans="1:4" x14ac:dyDescent="0.25">
      <c r="B10" s="22" t="s">
        <v>32</v>
      </c>
      <c r="C10" s="23">
        <v>11.03</v>
      </c>
      <c r="D10" s="23">
        <v>10.56</v>
      </c>
    </row>
    <row r="11" spans="1:4" x14ac:dyDescent="0.25">
      <c r="B11" s="22" t="s">
        <v>33</v>
      </c>
      <c r="C11" s="23">
        <v>11.88</v>
      </c>
      <c r="D11" s="23">
        <v>11.36</v>
      </c>
    </row>
    <row r="12" spans="1:4" x14ac:dyDescent="0.25">
      <c r="B12" s="22" t="s">
        <v>34</v>
      </c>
      <c r="C12" s="23">
        <v>11.57</v>
      </c>
      <c r="D12" s="23">
        <v>11.27</v>
      </c>
    </row>
    <row r="13" spans="1:4" x14ac:dyDescent="0.25">
      <c r="B13" s="22" t="s">
        <v>35</v>
      </c>
      <c r="C13" s="23">
        <v>10.94</v>
      </c>
      <c r="D13" s="23">
        <v>10.89</v>
      </c>
    </row>
    <row r="14" spans="1:4" x14ac:dyDescent="0.25">
      <c r="B14" s="22" t="s">
        <v>36</v>
      </c>
      <c r="C14" s="23">
        <v>10.11</v>
      </c>
      <c r="D14" s="23">
        <v>10.199999999999999</v>
      </c>
    </row>
    <row r="15" spans="1:4" x14ac:dyDescent="0.25">
      <c r="B15" s="22" t="s">
        <v>37</v>
      </c>
      <c r="C15" s="23">
        <v>9.8699999999999992</v>
      </c>
      <c r="D15" s="23">
        <v>10.1</v>
      </c>
    </row>
    <row r="16" spans="1:4" x14ac:dyDescent="0.25">
      <c r="B16" s="22" t="s">
        <v>38</v>
      </c>
      <c r="C16" s="23">
        <v>10.050000000000001</v>
      </c>
      <c r="D16" s="23">
        <v>10.34</v>
      </c>
    </row>
    <row r="17" spans="1:4" x14ac:dyDescent="0.25">
      <c r="B17" s="22" t="s">
        <v>39</v>
      </c>
      <c r="C17" s="23">
        <v>10.51</v>
      </c>
      <c r="D17" s="23">
        <v>11.09</v>
      </c>
    </row>
    <row r="18" spans="1:4" x14ac:dyDescent="0.25">
      <c r="B18" s="22" t="s">
        <v>40</v>
      </c>
      <c r="C18" s="23">
        <v>9.98</v>
      </c>
      <c r="D18" s="23">
        <v>10.82</v>
      </c>
    </row>
    <row r="19" spans="1:4" x14ac:dyDescent="0.25">
      <c r="B19" s="22" t="s">
        <v>41</v>
      </c>
      <c r="C19" s="23">
        <v>8.39</v>
      </c>
      <c r="D19" s="23">
        <v>9.48</v>
      </c>
    </row>
    <row r="20" spans="1:4" x14ac:dyDescent="0.25">
      <c r="B20" s="22" t="s">
        <v>42</v>
      </c>
      <c r="C20" s="23">
        <v>6.79</v>
      </c>
      <c r="D20" s="23">
        <v>7.88</v>
      </c>
    </row>
    <row r="21" spans="1:4" x14ac:dyDescent="0.25">
      <c r="B21" s="22" t="s">
        <v>43</v>
      </c>
      <c r="C21" s="23">
        <v>4.47</v>
      </c>
      <c r="D21" s="23">
        <v>5.51</v>
      </c>
    </row>
    <row r="22" spans="1:4" x14ac:dyDescent="0.25">
      <c r="B22" s="22" t="s">
        <v>44</v>
      </c>
      <c r="C22" s="23">
        <v>2.75</v>
      </c>
      <c r="D22" s="23">
        <v>3.72</v>
      </c>
    </row>
    <row r="23" spans="1:4" x14ac:dyDescent="0.25">
      <c r="B23" s="22" t="s">
        <v>45</v>
      </c>
      <c r="C23" s="23">
        <v>2.41</v>
      </c>
      <c r="D23" s="23">
        <v>4.24</v>
      </c>
    </row>
    <row r="25" spans="1:4" x14ac:dyDescent="0.25">
      <c r="A25" t="s">
        <v>46</v>
      </c>
    </row>
    <row r="27" spans="1:4" x14ac:dyDescent="0.25">
      <c r="B27" s="25" t="s">
        <v>47</v>
      </c>
      <c r="C27" s="26">
        <v>4503080</v>
      </c>
    </row>
    <row r="28" spans="1:4" x14ac:dyDescent="0.25">
      <c r="B28" t="s">
        <v>48</v>
      </c>
      <c r="C28" s="26">
        <f>SUM(C9:C17)*C27/SUM(C6:C23)</f>
        <v>2682585.5645956611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Resistance Profile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2022-04-07T21:09:40Z</dcterms:modified>
</cp:coreProperties>
</file>