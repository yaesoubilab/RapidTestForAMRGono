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29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ry87\PycharmProjects\RapidTestForAMRGono\model\"/>
    </mc:Choice>
  </mc:AlternateContent>
  <xr:revisionPtr revIDLastSave="0" documentId="13_ncr:1_{D213F1F0-F609-48CB-81D1-81BB4CB86C29}" xr6:coauthVersionLast="47" xr6:coauthVersionMax="47" xr10:uidLastSave="{00000000-0000-0000-0000-000000000000}"/>
  <bookViews>
    <workbookView xWindow="-17100" yWindow="930" windowWidth="16530" windowHeight="12600" xr2:uid="{AC5A884F-CD4B-4221-999D-895041B6D12D}"/>
  </bookViews>
  <sheets>
    <sheet name="Sheet1" sheetId="1" r:id="rId1"/>
    <sheet name="Sheet2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29" i="1" l="1"/>
  <c r="E29" i="1"/>
  <c r="F29" i="1"/>
  <c r="G29" i="1"/>
  <c r="H29" i="1"/>
  <c r="I29" i="1"/>
  <c r="J29" i="1"/>
  <c r="C29" i="1"/>
  <c r="D28" i="1"/>
  <c r="B3" i="1"/>
  <c r="B4" i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" i="1"/>
  <c r="D23" i="1"/>
  <c r="E23" i="1"/>
  <c r="F23" i="1"/>
  <c r="G23" i="1"/>
  <c r="H23" i="1"/>
  <c r="I23" i="1"/>
  <c r="J23" i="1"/>
  <c r="C23" i="1"/>
  <c r="J26" i="1"/>
  <c r="C3" i="1"/>
  <c r="D3" i="1"/>
  <c r="E3" i="1"/>
  <c r="F3" i="1"/>
  <c r="G3" i="1"/>
  <c r="H3" i="1"/>
  <c r="I3" i="1"/>
  <c r="J3" i="1"/>
  <c r="C4" i="1"/>
  <c r="D4" i="1"/>
  <c r="E4" i="1"/>
  <c r="F4" i="1"/>
  <c r="G4" i="1"/>
  <c r="H4" i="1"/>
  <c r="I4" i="1"/>
  <c r="J4" i="1"/>
  <c r="C5" i="1"/>
  <c r="D5" i="1"/>
  <c r="E5" i="1"/>
  <c r="F5" i="1"/>
  <c r="G5" i="1"/>
  <c r="H5" i="1"/>
  <c r="I5" i="1"/>
  <c r="J5" i="1"/>
  <c r="C6" i="1"/>
  <c r="D6" i="1"/>
  <c r="E6" i="1"/>
  <c r="F6" i="1"/>
  <c r="G6" i="1"/>
  <c r="H6" i="1"/>
  <c r="I6" i="1"/>
  <c r="J6" i="1"/>
  <c r="C7" i="1"/>
  <c r="D7" i="1"/>
  <c r="E7" i="1"/>
  <c r="F7" i="1"/>
  <c r="G7" i="1"/>
  <c r="H7" i="1"/>
  <c r="I7" i="1"/>
  <c r="J7" i="1"/>
  <c r="C8" i="1"/>
  <c r="D8" i="1"/>
  <c r="E8" i="1"/>
  <c r="F8" i="1"/>
  <c r="G8" i="1"/>
  <c r="H8" i="1"/>
  <c r="I8" i="1"/>
  <c r="J8" i="1"/>
  <c r="C9" i="1"/>
  <c r="D9" i="1"/>
  <c r="E9" i="1"/>
  <c r="F9" i="1"/>
  <c r="G9" i="1"/>
  <c r="H9" i="1"/>
  <c r="I9" i="1"/>
  <c r="J9" i="1"/>
  <c r="C10" i="1"/>
  <c r="D10" i="1"/>
  <c r="E10" i="1"/>
  <c r="F10" i="1"/>
  <c r="G10" i="1"/>
  <c r="H10" i="1"/>
  <c r="I10" i="1"/>
  <c r="J10" i="1"/>
  <c r="C11" i="1"/>
  <c r="D11" i="1"/>
  <c r="E11" i="1"/>
  <c r="F11" i="1"/>
  <c r="G11" i="1"/>
  <c r="H11" i="1"/>
  <c r="I11" i="1"/>
  <c r="J11" i="1"/>
  <c r="C12" i="1"/>
  <c r="D12" i="1"/>
  <c r="E12" i="1"/>
  <c r="F12" i="1"/>
  <c r="G12" i="1"/>
  <c r="H12" i="1"/>
  <c r="I12" i="1"/>
  <c r="J12" i="1"/>
  <c r="C13" i="1"/>
  <c r="D13" i="1"/>
  <c r="E13" i="1"/>
  <c r="F13" i="1"/>
  <c r="G13" i="1"/>
  <c r="H13" i="1"/>
  <c r="I13" i="1"/>
  <c r="J13" i="1"/>
  <c r="C14" i="1"/>
  <c r="D14" i="1"/>
  <c r="E14" i="1"/>
  <c r="F14" i="1"/>
  <c r="G14" i="1"/>
  <c r="H14" i="1"/>
  <c r="I14" i="1"/>
  <c r="J14" i="1"/>
  <c r="C15" i="1"/>
  <c r="D15" i="1"/>
  <c r="E15" i="1"/>
  <c r="F15" i="1"/>
  <c r="G15" i="1"/>
  <c r="H15" i="1"/>
  <c r="I15" i="1"/>
  <c r="J15" i="1"/>
  <c r="C16" i="1"/>
  <c r="D16" i="1"/>
  <c r="E16" i="1"/>
  <c r="F16" i="1"/>
  <c r="G16" i="1"/>
  <c r="H16" i="1"/>
  <c r="I16" i="1"/>
  <c r="J16" i="1"/>
  <c r="C17" i="1"/>
  <c r="D17" i="1"/>
  <c r="E17" i="1"/>
  <c r="F17" i="1"/>
  <c r="G17" i="1"/>
  <c r="H17" i="1"/>
  <c r="I17" i="1"/>
  <c r="J17" i="1"/>
  <c r="C18" i="1"/>
  <c r="D18" i="1"/>
  <c r="E18" i="1"/>
  <c r="F18" i="1"/>
  <c r="G18" i="1"/>
  <c r="H18" i="1"/>
  <c r="I18" i="1"/>
  <c r="J18" i="1"/>
  <c r="C19" i="1"/>
  <c r="D19" i="1"/>
  <c r="E19" i="1"/>
  <c r="F19" i="1"/>
  <c r="G19" i="1"/>
  <c r="H19" i="1"/>
  <c r="I19" i="1"/>
  <c r="J19" i="1"/>
  <c r="C20" i="1"/>
  <c r="D20" i="1"/>
  <c r="E20" i="1"/>
  <c r="F20" i="1"/>
  <c r="G20" i="1"/>
  <c r="H20" i="1"/>
  <c r="I20" i="1"/>
  <c r="J20" i="1"/>
  <c r="C21" i="1"/>
  <c r="D21" i="1"/>
  <c r="E21" i="1"/>
  <c r="F21" i="1"/>
  <c r="G21" i="1"/>
  <c r="H21" i="1"/>
  <c r="I21" i="1"/>
  <c r="J21" i="1"/>
  <c r="J2" i="1"/>
  <c r="J24" i="1" s="1"/>
  <c r="J27" i="1" s="1"/>
  <c r="I2" i="1"/>
  <c r="H2" i="1"/>
  <c r="G2" i="1"/>
  <c r="F2" i="1"/>
  <c r="E2" i="1"/>
  <c r="D2" i="1"/>
  <c r="C2" i="1"/>
  <c r="E24" i="1" l="1"/>
  <c r="F24" i="1"/>
  <c r="D24" i="1"/>
  <c r="G24" i="1"/>
  <c r="H24" i="1"/>
  <c r="I24" i="1"/>
  <c r="C24" i="1"/>
  <c r="J28" i="1"/>
  <c r="H27" i="1" l="1"/>
  <c r="H26" i="1"/>
  <c r="H28" i="1" s="1"/>
  <c r="F27" i="1"/>
  <c r="F26" i="1"/>
  <c r="F28" i="1" s="1"/>
  <c r="C27" i="1"/>
  <c r="C26" i="1"/>
  <c r="I27" i="1"/>
  <c r="I26" i="1"/>
  <c r="I28" i="1" s="1"/>
  <c r="G27" i="1"/>
  <c r="G26" i="1"/>
  <c r="D26" i="1"/>
  <c r="D27" i="1"/>
  <c r="E27" i="1"/>
  <c r="E26" i="1"/>
  <c r="K24" i="1"/>
  <c r="E28" i="1" l="1"/>
  <c r="G28" i="1"/>
</calcChain>
</file>

<file path=xl/sharedStrings.xml><?xml version="1.0" encoding="utf-8"?>
<sst xmlns="http://schemas.openxmlformats.org/spreadsheetml/2006/main" count="32" uniqueCount="27">
  <si>
    <t>Year</t>
  </si>
  <si>
    <t>CIP</t>
  </si>
  <si>
    <t>TET</t>
  </si>
  <si>
    <t>SUS</t>
  </si>
  <si>
    <t>CFX</t>
  </si>
  <si>
    <t>CIP+TET</t>
  </si>
  <si>
    <t>CIP+CFX</t>
  </si>
  <si>
    <t>TET+CFX</t>
  </si>
  <si>
    <t>CIP+TET+CFX</t>
  </si>
  <si>
    <t>SUS(%)</t>
  </si>
  <si>
    <t>TET(%)</t>
  </si>
  <si>
    <t>CIP(%)</t>
  </si>
  <si>
    <t>CFX(%)</t>
  </si>
  <si>
    <t>TET+CIP</t>
  </si>
  <si>
    <t>TET+CIP(%)</t>
  </si>
  <si>
    <t>CFX+TET</t>
  </si>
  <si>
    <t>CFX+TET(%)</t>
  </si>
  <si>
    <t>CFX+CIP</t>
  </si>
  <si>
    <t>CFX+CIP(%)</t>
  </si>
  <si>
    <t>CFX+TET+CIP</t>
  </si>
  <si>
    <t>CFX+TET+CIP(%)</t>
  </si>
  <si>
    <t>Total</t>
  </si>
  <si>
    <t>Ave</t>
  </si>
  <si>
    <t>L</t>
  </si>
  <si>
    <t>U</t>
  </si>
  <si>
    <t>%</t>
  </si>
  <si>
    <t>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</si>
</sst>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%"/>
  </numFmts>
  <fonts count="1" x14ac:knownFonts="1"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7">
    <xf numFmtId="0" fontId="0" fillId="0" borderId="0" xfId="0"/>
    <xf numFmtId="10" fontId="0" fillId="0" borderId="0" xfId="0" applyNumberFormat="1"/>
    <xf numFmtId="0" fontId="0" fillId="0" borderId="0" xfId="0" applyAlignment="1">
      <alignment wrapText="1"/>
    </xf>
    <xf numFmtId="0" fontId="0" fillId="0" borderId="0" xfId="0" applyAlignment="1">
      <alignment horizontal="center" wrapText="1"/>
    </xf>
    <xf numFmtId="164" fontId="0" fillId="0" borderId="0" xfId="0" applyNumberFormat="1" applyAlignment="1">
      <alignment horizontal="center"/>
    </xf>
    <xf numFmtId="164" fontId="0" fillId="2" borderId="0" xfId="0" applyNumberFormat="1" applyFill="1" applyAlignment="1">
      <alignment horizontal="center"/>
    </xf>
    <xf numFmtId="0" fontId="0" fillId="0" borderId="1" xfId="0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Sheet2!$C$1</c:f>
              <c:strCache>
                <c:ptCount val="1"/>
                <c:pt idx="0">
                  <c:v>SUS(%)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Sheet2!$A$2:$A$21</c:f>
              <c:numCache>
                <c:formatCode>General</c:formatCode>
                <c:ptCount val="20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</c:numCache>
            </c:numRef>
          </c:xVal>
          <c:yVal>
            <c:numRef>
              <c:f>Sheet2!$C$2:$C$21</c:f>
              <c:numCache>
                <c:formatCode>0.00%</c:formatCode>
                <c:ptCount val="20"/>
                <c:pt idx="0">
                  <c:v>0.2271</c:v>
                </c:pt>
                <c:pt idx="1">
                  <c:v>0.28699999999999998</c:v>
                </c:pt>
                <c:pt idx="2">
                  <c:v>0.31929999999999997</c:v>
                </c:pt>
                <c:pt idx="3">
                  <c:v>0.3362</c:v>
                </c:pt>
                <c:pt idx="4">
                  <c:v>0.34139999999999998</c:v>
                </c:pt>
                <c:pt idx="5">
                  <c:v>0.32200000000000001</c:v>
                </c:pt>
                <c:pt idx="6">
                  <c:v>0.32029999999999997</c:v>
                </c:pt>
                <c:pt idx="7">
                  <c:v>0.33179999999999998</c:v>
                </c:pt>
                <c:pt idx="8">
                  <c:v>0.38579999999999998</c:v>
                </c:pt>
                <c:pt idx="9">
                  <c:v>0.41339999999999999</c:v>
                </c:pt>
                <c:pt idx="10">
                  <c:v>0.3453</c:v>
                </c:pt>
                <c:pt idx="11">
                  <c:v>0.31530000000000002</c:v>
                </c:pt>
                <c:pt idx="12">
                  <c:v>0.27879999999999999</c:v>
                </c:pt>
                <c:pt idx="13">
                  <c:v>0.28810000000000002</c:v>
                </c:pt>
                <c:pt idx="14">
                  <c:v>0.24879999999999999</c:v>
                </c:pt>
                <c:pt idx="15">
                  <c:v>0.22409999999999999</c:v>
                </c:pt>
                <c:pt idx="16">
                  <c:v>0.17269999999999999</c:v>
                </c:pt>
                <c:pt idx="17">
                  <c:v>0.14799999999999999</c:v>
                </c:pt>
                <c:pt idx="18">
                  <c:v>0.13850000000000001</c:v>
                </c:pt>
                <c:pt idx="19">
                  <c:v>0.1132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A52-4940-9928-C83C2254D7E0}"/>
            </c:ext>
          </c:extLst>
        </c:ser>
        <c:ser>
          <c:idx val="1"/>
          <c:order val="1"/>
          <c:tx>
            <c:strRef>
              <c:f>Sheet2!$E$1</c:f>
              <c:strCache>
                <c:ptCount val="1"/>
                <c:pt idx="0">
                  <c:v>TET(%)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Sheet2!$A$2:$A$21</c:f>
              <c:numCache>
                <c:formatCode>General</c:formatCode>
                <c:ptCount val="20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</c:numCache>
            </c:numRef>
          </c:xVal>
          <c:yVal>
            <c:numRef>
              <c:f>Sheet2!$E$2:$E$21</c:f>
              <c:numCache>
                <c:formatCode>0.00%</c:formatCode>
                <c:ptCount val="20"/>
                <c:pt idx="0">
                  <c:v>0.75380000000000003</c:v>
                </c:pt>
                <c:pt idx="1">
                  <c:v>0.68720000000000003</c:v>
                </c:pt>
                <c:pt idx="2">
                  <c:v>0.64390000000000003</c:v>
                </c:pt>
                <c:pt idx="3">
                  <c:v>0.61360000000000003</c:v>
                </c:pt>
                <c:pt idx="4">
                  <c:v>0.58260000000000001</c:v>
                </c:pt>
                <c:pt idx="5">
                  <c:v>0.57340000000000002</c:v>
                </c:pt>
                <c:pt idx="6">
                  <c:v>0.52880000000000005</c:v>
                </c:pt>
                <c:pt idx="7">
                  <c:v>0.5071</c:v>
                </c:pt>
                <c:pt idx="8">
                  <c:v>0.4703</c:v>
                </c:pt>
                <c:pt idx="9">
                  <c:v>0.48430000000000001</c:v>
                </c:pt>
                <c:pt idx="10">
                  <c:v>0.51819999999999999</c:v>
                </c:pt>
                <c:pt idx="11">
                  <c:v>0.53310000000000002</c:v>
                </c:pt>
                <c:pt idx="12">
                  <c:v>0.55330000000000001</c:v>
                </c:pt>
                <c:pt idx="13">
                  <c:v>0.53649999999999998</c:v>
                </c:pt>
                <c:pt idx="14">
                  <c:v>0.54679999999999995</c:v>
                </c:pt>
                <c:pt idx="15">
                  <c:v>0.53900000000000003</c:v>
                </c:pt>
                <c:pt idx="16">
                  <c:v>0.54579999999999995</c:v>
                </c:pt>
                <c:pt idx="17">
                  <c:v>0.53290000000000004</c:v>
                </c:pt>
                <c:pt idx="18">
                  <c:v>0.52890000000000004</c:v>
                </c:pt>
                <c:pt idx="19">
                  <c:v>0.51570000000000005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A52-4940-9928-C83C2254D7E0}"/>
            </c:ext>
          </c:extLst>
        </c:ser>
        <c:ser>
          <c:idx val="2"/>
          <c:order val="2"/>
          <c:tx>
            <c:strRef>
              <c:f>Sheet2!$G$1</c:f>
              <c:strCache>
                <c:ptCount val="1"/>
                <c:pt idx="0">
                  <c:v>CIP(%)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Sheet2!$A$2:$A$21</c:f>
              <c:numCache>
                <c:formatCode>General</c:formatCode>
                <c:ptCount val="20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</c:numCache>
            </c:numRef>
          </c:xVal>
          <c:yVal>
            <c:numRef>
              <c:f>Sheet2!$G$2:$G$21</c:f>
              <c:numCache>
                <c:formatCode>0.00%</c:formatCode>
                <c:ptCount val="20"/>
                <c:pt idx="0">
                  <c:v>4.0000000000000002E-4</c:v>
                </c:pt>
                <c:pt idx="1">
                  <c:v>1.2999999999999999E-3</c:v>
                </c:pt>
                <c:pt idx="2">
                  <c:v>5.9999999999999995E-4</c:v>
                </c:pt>
                <c:pt idx="3">
                  <c:v>2.9999999999999997E-4</c:v>
                </c:pt>
                <c:pt idx="4">
                  <c:v>1.6000000000000001E-3</c:v>
                </c:pt>
                <c:pt idx="5">
                  <c:v>2.5999999999999999E-3</c:v>
                </c:pt>
                <c:pt idx="6">
                  <c:v>4.3E-3</c:v>
                </c:pt>
                <c:pt idx="7">
                  <c:v>6.3E-3</c:v>
                </c:pt>
                <c:pt idx="8">
                  <c:v>8.6E-3</c:v>
                </c:pt>
                <c:pt idx="9">
                  <c:v>3.8999999999999998E-3</c:v>
                </c:pt>
                <c:pt idx="10">
                  <c:v>5.7999999999999996E-3</c:v>
                </c:pt>
                <c:pt idx="11">
                  <c:v>4.5999999999999999E-3</c:v>
                </c:pt>
                <c:pt idx="12">
                  <c:v>6.7999999999999996E-3</c:v>
                </c:pt>
                <c:pt idx="13">
                  <c:v>2.7000000000000001E-3</c:v>
                </c:pt>
                <c:pt idx="14">
                  <c:v>3.2000000000000002E-3</c:v>
                </c:pt>
                <c:pt idx="15">
                  <c:v>5.8999999999999999E-3</c:v>
                </c:pt>
                <c:pt idx="16">
                  <c:v>3.8E-3</c:v>
                </c:pt>
                <c:pt idx="17">
                  <c:v>5.4999999999999997E-3</c:v>
                </c:pt>
                <c:pt idx="18">
                  <c:v>9.2999999999999992E-3</c:v>
                </c:pt>
                <c:pt idx="19">
                  <c:v>1.0999999999999999E-2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A52-4940-9928-C83C2254D7E0}"/>
            </c:ext>
          </c:extLst>
        </c:ser>
        <c:ser>
          <c:idx val="3"/>
          <c:order val="3"/>
          <c:tx>
            <c:strRef>
              <c:f>Sheet2!$I$1</c:f>
              <c:strCache>
                <c:ptCount val="1"/>
                <c:pt idx="0">
                  <c:v>CFX(%)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Sheet2!$A$2:$A$21</c:f>
              <c:numCache>
                <c:formatCode>General</c:formatCode>
                <c:ptCount val="20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</c:numCache>
            </c:numRef>
          </c:xVal>
          <c:yVal>
            <c:numRef>
              <c:f>Sheet2!$I$2:$I$21</c:f>
              <c:numCache>
                <c:formatCode>0.00%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AA52-4940-9928-C83C2254D7E0}"/>
            </c:ext>
          </c:extLst>
        </c:ser>
        <c:ser>
          <c:idx val="4"/>
          <c:order val="4"/>
          <c:tx>
            <c:strRef>
              <c:f>Sheet2!$K$1</c:f>
              <c:strCache>
                <c:ptCount val="1"/>
                <c:pt idx="0">
                  <c:v>TET+CIP(%)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Sheet2!$A$2:$A$21</c:f>
              <c:numCache>
                <c:formatCode>General</c:formatCode>
                <c:ptCount val="20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</c:numCache>
            </c:numRef>
          </c:xVal>
          <c:yVal>
            <c:numRef>
              <c:f>Sheet2!$K$2:$K$21</c:f>
              <c:numCache>
                <c:formatCode>0.00%</c:formatCode>
                <c:ptCount val="20"/>
                <c:pt idx="0">
                  <c:v>1.8700000000000001E-2</c:v>
                </c:pt>
                <c:pt idx="1">
                  <c:v>2.3800000000000002E-2</c:v>
                </c:pt>
                <c:pt idx="2">
                  <c:v>3.61E-2</c:v>
                </c:pt>
                <c:pt idx="3">
                  <c:v>4.9799999999999997E-2</c:v>
                </c:pt>
                <c:pt idx="4">
                  <c:v>7.4200000000000002E-2</c:v>
                </c:pt>
                <c:pt idx="5">
                  <c:v>0.1021</c:v>
                </c:pt>
                <c:pt idx="6">
                  <c:v>0.1464</c:v>
                </c:pt>
                <c:pt idx="7">
                  <c:v>0.15479999999999999</c:v>
                </c:pt>
                <c:pt idx="8">
                  <c:v>0.13539999999999999</c:v>
                </c:pt>
                <c:pt idx="9">
                  <c:v>9.7600000000000006E-2</c:v>
                </c:pt>
                <c:pt idx="10">
                  <c:v>0.12920000000000001</c:v>
                </c:pt>
                <c:pt idx="11">
                  <c:v>0.14649999999999999</c:v>
                </c:pt>
                <c:pt idx="12">
                  <c:v>0.16059999999999999</c:v>
                </c:pt>
                <c:pt idx="13">
                  <c:v>0.17280000000000001</c:v>
                </c:pt>
                <c:pt idx="14">
                  <c:v>0.20080000000000001</c:v>
                </c:pt>
                <c:pt idx="15">
                  <c:v>0.23</c:v>
                </c:pt>
                <c:pt idx="16">
                  <c:v>0.27750000000000002</c:v>
                </c:pt>
                <c:pt idx="17">
                  <c:v>0.31340000000000001</c:v>
                </c:pt>
                <c:pt idx="18">
                  <c:v>0.32290000000000002</c:v>
                </c:pt>
                <c:pt idx="19">
                  <c:v>0.36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AA52-4940-9928-C83C2254D7E0}"/>
            </c:ext>
          </c:extLst>
        </c:ser>
        <c:ser>
          <c:idx val="5"/>
          <c:order val="5"/>
          <c:tx>
            <c:strRef>
              <c:f>Sheet2!$M$1</c:f>
              <c:strCache>
                <c:ptCount val="1"/>
                <c:pt idx="0">
                  <c:v>CFX+TET(%)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Sheet2!$A$2:$A$21</c:f>
              <c:numCache>
                <c:formatCode>General</c:formatCode>
                <c:ptCount val="20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</c:numCache>
            </c:numRef>
          </c:xVal>
          <c:yVal>
            <c:numRef>
              <c:f>Sheet2!$M$2:$M$21</c:f>
              <c:numCache>
                <c:formatCode>0.00%</c:formatCode>
                <c:ptCount val="20"/>
                <c:pt idx="0">
                  <c:v>0</c:v>
                </c:pt>
                <c:pt idx="1">
                  <c:v>2.0000000000000001E-4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4.0000000000000002E-4</c:v>
                </c:pt>
                <c:pt idx="12">
                  <c:v>4.0000000000000002E-4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2.0000000000000001E-4</c:v>
                </c:pt>
                <c:pt idx="18">
                  <c:v>2.0000000000000001E-4</c:v>
                </c:pt>
                <c:pt idx="1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AA52-4940-9928-C83C2254D7E0}"/>
            </c:ext>
          </c:extLst>
        </c:ser>
        <c:ser>
          <c:idx val="6"/>
          <c:order val="6"/>
          <c:tx>
            <c:strRef>
              <c:f>Sheet2!$O$1</c:f>
              <c:strCache>
                <c:ptCount val="1"/>
                <c:pt idx="0">
                  <c:v>CFX+CIP(%)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Sheet2!$A$2:$A$21</c:f>
              <c:numCache>
                <c:formatCode>General</c:formatCode>
                <c:ptCount val="20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</c:numCache>
            </c:numRef>
          </c:xVal>
          <c:yVal>
            <c:numRef>
              <c:f>Sheet2!$O$2:$O$21</c:f>
              <c:numCache>
                <c:formatCode>0.00%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AA52-4940-9928-C83C2254D7E0}"/>
            </c:ext>
          </c:extLst>
        </c:ser>
        <c:ser>
          <c:idx val="7"/>
          <c:order val="7"/>
          <c:tx>
            <c:strRef>
              <c:f>Sheet2!$Q$1</c:f>
              <c:strCache>
                <c:ptCount val="1"/>
                <c:pt idx="0">
                  <c:v>CFX+TET+CIP(%)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Sheet2!$A$2:$A$21</c:f>
              <c:numCache>
                <c:formatCode>General</c:formatCode>
                <c:ptCount val="20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</c:numCache>
            </c:numRef>
          </c:xVal>
          <c:yVal>
            <c:numRef>
              <c:f>Sheet2!$Q$2:$Q$21</c:f>
              <c:numCache>
                <c:formatCode>0.00%</c:formatCode>
                <c:ptCount val="20"/>
                <c:pt idx="0">
                  <c:v>0</c:v>
                </c:pt>
                <c:pt idx="1">
                  <c:v>5.0000000000000001E-4</c:v>
                </c:pt>
                <c:pt idx="2">
                  <c:v>0</c:v>
                </c:pt>
                <c:pt idx="3">
                  <c:v>0</c:v>
                </c:pt>
                <c:pt idx="4">
                  <c:v>2.9999999999999997E-4</c:v>
                </c:pt>
                <c:pt idx="5">
                  <c:v>0</c:v>
                </c:pt>
                <c:pt idx="6">
                  <c:v>2.0000000000000001E-4</c:v>
                </c:pt>
                <c:pt idx="7">
                  <c:v>0</c:v>
                </c:pt>
                <c:pt idx="8">
                  <c:v>0</c:v>
                </c:pt>
                <c:pt idx="9">
                  <c:v>6.9999999999999999E-4</c:v>
                </c:pt>
                <c:pt idx="10">
                  <c:v>1.6000000000000001E-3</c:v>
                </c:pt>
                <c:pt idx="11">
                  <c:v>2.0000000000000001E-4</c:v>
                </c:pt>
                <c:pt idx="12">
                  <c:v>2.0000000000000001E-4</c:v>
                </c:pt>
                <c:pt idx="13">
                  <c:v>0</c:v>
                </c:pt>
                <c:pt idx="14">
                  <c:v>4.0000000000000002E-4</c:v>
                </c:pt>
                <c:pt idx="15">
                  <c:v>1E-3</c:v>
                </c:pt>
                <c:pt idx="16">
                  <c:v>2.0000000000000001E-4</c:v>
                </c:pt>
                <c:pt idx="17">
                  <c:v>0</c:v>
                </c:pt>
                <c:pt idx="18">
                  <c:v>2.0000000000000001E-4</c:v>
                </c:pt>
                <c:pt idx="19">
                  <c:v>2.0000000000000001E-4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AA52-4940-9928-C83C2254D7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63816288"/>
        <c:axId val="763820224"/>
      </c:scatterChart>
      <c:valAx>
        <c:axId val="7638162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3820224"/>
        <c:crosses val="autoZero"/>
        <c:crossBetween val="midCat"/>
      </c:valAx>
      <c:valAx>
        <c:axId val="7638202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381628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200025</xdr:colOff>
      <xdr:row>0</xdr:row>
      <xdr:rowOff>147637</xdr:rowOff>
    </xdr:from>
    <xdr:to>
      <xdr:col>27</xdr:col>
      <xdr:colOff>314325</xdr:colOff>
      <xdr:row>27</xdr:row>
      <xdr:rowOff>123825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1768367E-D1B8-4DA2-B85F-BD5F9ECE06D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09CD91-601B-42CC-8387-6E26168611BA}">
  <dimension ref="A1:K29"/>
  <sheetViews>
    <sheetView tabSelected="1" topLeftCell="A13" workbookViewId="0">
      <selection activeCell="C29" sqref="C29"/>
    </sheetView>
  </sheetViews>
  <sheetFormatPr defaultRowHeight="15" x14ac:dyDescent="0.25"/>
  <cols>
    <col min="3" max="11" width="13.42578125" customWidth="1"/>
  </cols>
  <sheetData>
    <row r="1" spans="1:10" x14ac:dyDescent="0.25">
      <c r="A1" t="s">
        <v>0</v>
      </c>
      <c r="B1" t="s">
        <v>26</v>
      </c>
      <c r="C1" t="s">
        <v>3</v>
      </c>
      <c r="D1" t="s">
        <v>1</v>
      </c>
      <c r="E1" t="s">
        <v>2</v>
      </c>
      <c r="F1" t="s">
        <v>4</v>
      </c>
      <c r="G1" t="s">
        <v>5</v>
      </c>
      <c r="H1" t="s">
        <v>6</v>
      </c>
      <c r="I1" t="s">
        <v>7</v>
      </c>
      <c r="J1" t="s">
        <v>8</v>
      </c>
    </row>
    <row r="2" spans="1:10" x14ac:dyDescent="0.25">
      <c r="A2">
        <v>2000</v>
      </c>
      <c r="B2">
        <f>Sheet2!R2</f>
        <v>5459</v>
      </c>
      <c r="C2" s="1">
        <f>Sheet2!C2</f>
        <v>0.2271</v>
      </c>
      <c r="D2" s="1">
        <f>Sheet2!G2</f>
        <v>4.0000000000000002E-4</v>
      </c>
      <c r="E2" s="1">
        <f>Sheet2!E2</f>
        <v>0.75380000000000003</v>
      </c>
      <c r="F2" s="1">
        <f>Sheet2!I2</f>
        <v>0</v>
      </c>
      <c r="G2" s="1">
        <f>Sheet2!K2</f>
        <v>1.8700000000000001E-2</v>
      </c>
      <c r="H2" s="1">
        <f>Sheet2!O2</f>
        <v>0</v>
      </c>
      <c r="I2" s="1">
        <f>Sheet2!M2</f>
        <v>0</v>
      </c>
      <c r="J2" s="1">
        <f>Sheet2!Q2</f>
        <v>0</v>
      </c>
    </row>
    <row r="3" spans="1:10" x14ac:dyDescent="0.25">
      <c r="A3">
        <v>2001</v>
      </c>
      <c r="B3">
        <f>Sheet2!R3</f>
        <v>5466</v>
      </c>
      <c r="C3" s="1">
        <f>Sheet2!C3</f>
        <v>0.28699999999999998</v>
      </c>
      <c r="D3" s="1">
        <f>Sheet2!G3</f>
        <v>1.2999999999999999E-3</v>
      </c>
      <c r="E3" s="1">
        <f>Sheet2!E3</f>
        <v>0.68720000000000003</v>
      </c>
      <c r="F3" s="1">
        <f>Sheet2!I3</f>
        <v>0</v>
      </c>
      <c r="G3" s="1">
        <f>Sheet2!K3</f>
        <v>2.3800000000000002E-2</v>
      </c>
      <c r="H3" s="1">
        <f>Sheet2!O3</f>
        <v>0</v>
      </c>
      <c r="I3" s="1">
        <f>Sheet2!M3</f>
        <v>2.0000000000000001E-4</v>
      </c>
      <c r="J3" s="1">
        <f>Sheet2!Q3</f>
        <v>5.0000000000000001E-4</v>
      </c>
    </row>
    <row r="4" spans="1:10" x14ac:dyDescent="0.25">
      <c r="A4">
        <v>2002</v>
      </c>
      <c r="B4">
        <f>Sheet2!R4</f>
        <v>5339</v>
      </c>
      <c r="C4" s="1">
        <f>Sheet2!C4</f>
        <v>0.31929999999999997</v>
      </c>
      <c r="D4" s="1">
        <f>Sheet2!G4</f>
        <v>5.9999999999999995E-4</v>
      </c>
      <c r="E4" s="1">
        <f>Sheet2!E4</f>
        <v>0.64390000000000003</v>
      </c>
      <c r="F4" s="1">
        <f>Sheet2!I4</f>
        <v>0</v>
      </c>
      <c r="G4" s="1">
        <f>Sheet2!K4</f>
        <v>3.61E-2</v>
      </c>
      <c r="H4" s="1">
        <f>Sheet2!O4</f>
        <v>0</v>
      </c>
      <c r="I4" s="1">
        <f>Sheet2!M4</f>
        <v>0</v>
      </c>
      <c r="J4" s="1">
        <f>Sheet2!Q4</f>
        <v>0</v>
      </c>
    </row>
    <row r="5" spans="1:10" x14ac:dyDescent="0.25">
      <c r="A5">
        <v>2003</v>
      </c>
      <c r="B5">
        <f>Sheet2!R5</f>
        <v>6525</v>
      </c>
      <c r="C5" s="1">
        <f>Sheet2!C5</f>
        <v>0.3362</v>
      </c>
      <c r="D5" s="1">
        <f>Sheet2!G5</f>
        <v>2.9999999999999997E-4</v>
      </c>
      <c r="E5" s="1">
        <f>Sheet2!E5</f>
        <v>0.61360000000000003</v>
      </c>
      <c r="F5" s="1">
        <f>Sheet2!I5</f>
        <v>0</v>
      </c>
      <c r="G5" s="1">
        <f>Sheet2!K5</f>
        <v>4.9799999999999997E-2</v>
      </c>
      <c r="H5" s="1">
        <f>Sheet2!O5</f>
        <v>0</v>
      </c>
      <c r="I5" s="1">
        <f>Sheet2!M5</f>
        <v>0</v>
      </c>
      <c r="J5" s="1">
        <f>Sheet2!Q5</f>
        <v>0</v>
      </c>
    </row>
    <row r="6" spans="1:10" x14ac:dyDescent="0.25">
      <c r="A6">
        <v>2004</v>
      </c>
      <c r="B6">
        <f>Sheet2!R6</f>
        <v>6310</v>
      </c>
      <c r="C6" s="1">
        <f>Sheet2!C6</f>
        <v>0.34139999999999998</v>
      </c>
      <c r="D6" s="1">
        <f>Sheet2!G6</f>
        <v>1.6000000000000001E-3</v>
      </c>
      <c r="E6" s="1">
        <f>Sheet2!E6</f>
        <v>0.58260000000000001</v>
      </c>
      <c r="F6" s="1">
        <f>Sheet2!I6</f>
        <v>0</v>
      </c>
      <c r="G6" s="1">
        <f>Sheet2!K6</f>
        <v>7.4200000000000002E-2</v>
      </c>
      <c r="H6" s="1">
        <f>Sheet2!O6</f>
        <v>0</v>
      </c>
      <c r="I6" s="1">
        <f>Sheet2!M6</f>
        <v>0</v>
      </c>
      <c r="J6" s="1">
        <f>Sheet2!Q6</f>
        <v>2.9999999999999997E-4</v>
      </c>
    </row>
    <row r="7" spans="1:10" x14ac:dyDescent="0.25">
      <c r="A7">
        <v>2005</v>
      </c>
      <c r="B7">
        <f>Sheet2!R7</f>
        <v>6193</v>
      </c>
      <c r="C7" s="1">
        <f>Sheet2!C7</f>
        <v>0.32200000000000001</v>
      </c>
      <c r="D7" s="1">
        <f>Sheet2!G7</f>
        <v>2.5999999999999999E-3</v>
      </c>
      <c r="E7" s="1">
        <f>Sheet2!E7</f>
        <v>0.57340000000000002</v>
      </c>
      <c r="F7" s="1">
        <f>Sheet2!I7</f>
        <v>0</v>
      </c>
      <c r="G7" s="1">
        <f>Sheet2!K7</f>
        <v>0.1021</v>
      </c>
      <c r="H7" s="1">
        <f>Sheet2!O7</f>
        <v>0</v>
      </c>
      <c r="I7" s="1">
        <f>Sheet2!M7</f>
        <v>0</v>
      </c>
      <c r="J7" s="1">
        <f>Sheet2!Q7</f>
        <v>0</v>
      </c>
    </row>
    <row r="8" spans="1:10" x14ac:dyDescent="0.25">
      <c r="A8">
        <v>2006</v>
      </c>
      <c r="B8">
        <f>Sheet2!R8</f>
        <v>6085</v>
      </c>
      <c r="C8" s="1">
        <f>Sheet2!C8</f>
        <v>0.32029999999999997</v>
      </c>
      <c r="D8" s="1">
        <f>Sheet2!G8</f>
        <v>4.3E-3</v>
      </c>
      <c r="E8" s="1">
        <f>Sheet2!E8</f>
        <v>0.52880000000000005</v>
      </c>
      <c r="F8" s="1">
        <f>Sheet2!I8</f>
        <v>0</v>
      </c>
      <c r="G8" s="1">
        <f>Sheet2!K8</f>
        <v>0.1464</v>
      </c>
      <c r="H8" s="1">
        <f>Sheet2!O8</f>
        <v>0</v>
      </c>
      <c r="I8" s="1">
        <f>Sheet2!M8</f>
        <v>0</v>
      </c>
      <c r="J8" s="1">
        <f>Sheet2!Q8</f>
        <v>2.0000000000000001E-4</v>
      </c>
    </row>
    <row r="9" spans="1:10" x14ac:dyDescent="0.25">
      <c r="A9">
        <v>2007</v>
      </c>
      <c r="B9">
        <f>Sheet2!R9</f>
        <v>6007</v>
      </c>
      <c r="C9" s="1">
        <f>Sheet2!C9</f>
        <v>0.33179999999999998</v>
      </c>
      <c r="D9" s="1">
        <f>Sheet2!G9</f>
        <v>6.3E-3</v>
      </c>
      <c r="E9" s="1">
        <f>Sheet2!E9</f>
        <v>0.5071</v>
      </c>
      <c r="F9" s="1">
        <f>Sheet2!I9</f>
        <v>0</v>
      </c>
      <c r="G9" s="1">
        <f>Sheet2!K9</f>
        <v>0.15479999999999999</v>
      </c>
      <c r="H9" s="1">
        <f>Sheet2!O9</f>
        <v>0</v>
      </c>
      <c r="I9" s="1">
        <f>Sheet2!M9</f>
        <v>0</v>
      </c>
      <c r="J9" s="1">
        <f>Sheet2!Q9</f>
        <v>0</v>
      </c>
    </row>
    <row r="10" spans="1:10" x14ac:dyDescent="0.25">
      <c r="A10">
        <v>2008</v>
      </c>
      <c r="B10">
        <f>Sheet2!R10</f>
        <v>5716</v>
      </c>
      <c r="C10" s="1">
        <f>Sheet2!C10</f>
        <v>0.38579999999999998</v>
      </c>
      <c r="D10" s="1">
        <f>Sheet2!G10</f>
        <v>8.6E-3</v>
      </c>
      <c r="E10" s="1">
        <f>Sheet2!E10</f>
        <v>0.4703</v>
      </c>
      <c r="F10" s="1">
        <f>Sheet2!I10</f>
        <v>0</v>
      </c>
      <c r="G10" s="1">
        <f>Sheet2!K10</f>
        <v>0.13539999999999999</v>
      </c>
      <c r="H10" s="1">
        <f>Sheet2!O10</f>
        <v>0</v>
      </c>
      <c r="I10" s="1">
        <f>Sheet2!M10</f>
        <v>0</v>
      </c>
      <c r="J10" s="1">
        <f>Sheet2!Q10</f>
        <v>0</v>
      </c>
    </row>
    <row r="11" spans="1:10" x14ac:dyDescent="0.25">
      <c r="A11">
        <v>2009</v>
      </c>
      <c r="B11">
        <f>Sheet2!R11</f>
        <v>5602</v>
      </c>
      <c r="C11" s="1">
        <f>Sheet2!C11</f>
        <v>0.41339999999999999</v>
      </c>
      <c r="D11" s="1">
        <f>Sheet2!G11</f>
        <v>3.8999999999999998E-3</v>
      </c>
      <c r="E11" s="1">
        <f>Sheet2!E11</f>
        <v>0.48430000000000001</v>
      </c>
      <c r="F11" s="1">
        <f>Sheet2!I11</f>
        <v>0</v>
      </c>
      <c r="G11" s="1">
        <f>Sheet2!K11</f>
        <v>9.7600000000000006E-2</v>
      </c>
      <c r="H11" s="1">
        <f>Sheet2!O11</f>
        <v>0</v>
      </c>
      <c r="I11" s="1">
        <f>Sheet2!M11</f>
        <v>0</v>
      </c>
      <c r="J11" s="1">
        <f>Sheet2!Q11</f>
        <v>6.9999999999999999E-4</v>
      </c>
    </row>
    <row r="12" spans="1:10" x14ac:dyDescent="0.25">
      <c r="A12">
        <v>2010</v>
      </c>
      <c r="B12">
        <f>Sheet2!R12</f>
        <v>5674</v>
      </c>
      <c r="C12" s="1">
        <f>Sheet2!C12</f>
        <v>0.3453</v>
      </c>
      <c r="D12" s="1">
        <f>Sheet2!G12</f>
        <v>5.7999999999999996E-3</v>
      </c>
      <c r="E12" s="1">
        <f>Sheet2!E12</f>
        <v>0.51819999999999999</v>
      </c>
      <c r="F12" s="1">
        <f>Sheet2!I12</f>
        <v>0</v>
      </c>
      <c r="G12" s="1">
        <f>Sheet2!K12</f>
        <v>0.12920000000000001</v>
      </c>
      <c r="H12" s="1">
        <f>Sheet2!O12</f>
        <v>0</v>
      </c>
      <c r="I12" s="1">
        <f>Sheet2!M12</f>
        <v>0</v>
      </c>
      <c r="J12" s="1">
        <f>Sheet2!Q12</f>
        <v>1.6000000000000001E-3</v>
      </c>
    </row>
    <row r="13" spans="1:10" x14ac:dyDescent="0.25">
      <c r="A13">
        <v>2011</v>
      </c>
      <c r="B13">
        <f>Sheet2!R13</f>
        <v>5446</v>
      </c>
      <c r="C13" s="1">
        <f>Sheet2!C13</f>
        <v>0.31530000000000002</v>
      </c>
      <c r="D13" s="1">
        <f>Sheet2!G13</f>
        <v>4.5999999999999999E-3</v>
      </c>
      <c r="E13" s="1">
        <f>Sheet2!E13</f>
        <v>0.53310000000000002</v>
      </c>
      <c r="F13" s="1">
        <f>Sheet2!I13</f>
        <v>0</v>
      </c>
      <c r="G13" s="1">
        <f>Sheet2!K13</f>
        <v>0.14649999999999999</v>
      </c>
      <c r="H13" s="1">
        <f>Sheet2!O13</f>
        <v>0</v>
      </c>
      <c r="I13" s="1">
        <f>Sheet2!M13</f>
        <v>4.0000000000000002E-4</v>
      </c>
      <c r="J13" s="1">
        <f>Sheet2!Q13</f>
        <v>2.0000000000000001E-4</v>
      </c>
    </row>
    <row r="14" spans="1:10" x14ac:dyDescent="0.25">
      <c r="A14">
        <v>2012</v>
      </c>
      <c r="B14">
        <f>Sheet2!R14</f>
        <v>5455</v>
      </c>
      <c r="C14" s="1">
        <f>Sheet2!C14</f>
        <v>0.27879999999999999</v>
      </c>
      <c r="D14" s="1">
        <f>Sheet2!G14</f>
        <v>6.7999999999999996E-3</v>
      </c>
      <c r="E14" s="1">
        <f>Sheet2!E14</f>
        <v>0.55330000000000001</v>
      </c>
      <c r="F14" s="1">
        <f>Sheet2!I14</f>
        <v>0</v>
      </c>
      <c r="G14" s="1">
        <f>Sheet2!K14</f>
        <v>0.16059999999999999</v>
      </c>
      <c r="H14" s="1">
        <f>Sheet2!O14</f>
        <v>0</v>
      </c>
      <c r="I14" s="1">
        <f>Sheet2!M14</f>
        <v>4.0000000000000002E-4</v>
      </c>
      <c r="J14" s="1">
        <f>Sheet2!Q14</f>
        <v>2.0000000000000001E-4</v>
      </c>
    </row>
    <row r="15" spans="1:10" x14ac:dyDescent="0.25">
      <c r="A15">
        <v>2013</v>
      </c>
      <c r="B15">
        <f>Sheet2!R15</f>
        <v>5898</v>
      </c>
      <c r="C15" s="1">
        <f>Sheet2!C15</f>
        <v>0.28810000000000002</v>
      </c>
      <c r="D15" s="1">
        <f>Sheet2!G15</f>
        <v>2.7000000000000001E-3</v>
      </c>
      <c r="E15" s="1">
        <f>Sheet2!E15</f>
        <v>0.53649999999999998</v>
      </c>
      <c r="F15" s="1">
        <f>Sheet2!I15</f>
        <v>0</v>
      </c>
      <c r="G15" s="1">
        <f>Sheet2!K15</f>
        <v>0.17280000000000001</v>
      </c>
      <c r="H15" s="1">
        <f>Sheet2!O15</f>
        <v>0</v>
      </c>
      <c r="I15" s="1">
        <f>Sheet2!M15</f>
        <v>0</v>
      </c>
      <c r="J15" s="1">
        <f>Sheet2!Q15</f>
        <v>0</v>
      </c>
    </row>
    <row r="16" spans="1:10" x14ac:dyDescent="0.25">
      <c r="A16">
        <v>2014</v>
      </c>
      <c r="B16">
        <f>Sheet2!R16</f>
        <v>5049</v>
      </c>
      <c r="C16" s="1">
        <f>Sheet2!C16</f>
        <v>0.24879999999999999</v>
      </c>
      <c r="D16" s="1">
        <f>Sheet2!G16</f>
        <v>3.2000000000000002E-3</v>
      </c>
      <c r="E16" s="1">
        <f>Sheet2!E16</f>
        <v>0.54679999999999995</v>
      </c>
      <c r="F16" s="1">
        <f>Sheet2!I16</f>
        <v>0</v>
      </c>
      <c r="G16" s="1">
        <f>Sheet2!K16</f>
        <v>0.20080000000000001</v>
      </c>
      <c r="H16" s="1">
        <f>Sheet2!O16</f>
        <v>0</v>
      </c>
      <c r="I16" s="1">
        <f>Sheet2!M16</f>
        <v>0</v>
      </c>
      <c r="J16" s="1">
        <f>Sheet2!Q16</f>
        <v>4.0000000000000002E-4</v>
      </c>
    </row>
    <row r="17" spans="1:11" x14ac:dyDescent="0.25">
      <c r="A17">
        <v>2015</v>
      </c>
      <c r="B17">
        <f>Sheet2!R17</f>
        <v>5122</v>
      </c>
      <c r="C17" s="1">
        <f>Sheet2!C17</f>
        <v>0.22409999999999999</v>
      </c>
      <c r="D17" s="1">
        <f>Sheet2!G17</f>
        <v>5.8999999999999999E-3</v>
      </c>
      <c r="E17" s="1">
        <f>Sheet2!E17</f>
        <v>0.53900000000000003</v>
      </c>
      <c r="F17" s="1">
        <f>Sheet2!I17</f>
        <v>0</v>
      </c>
      <c r="G17" s="1">
        <f>Sheet2!K17</f>
        <v>0.23</v>
      </c>
      <c r="H17" s="1">
        <f>Sheet2!O17</f>
        <v>0</v>
      </c>
      <c r="I17" s="1">
        <f>Sheet2!M17</f>
        <v>0</v>
      </c>
      <c r="J17" s="1">
        <f>Sheet2!Q17</f>
        <v>1E-3</v>
      </c>
    </row>
    <row r="18" spans="1:11" x14ac:dyDescent="0.25">
      <c r="A18">
        <v>2016</v>
      </c>
      <c r="B18">
        <f>Sheet2!R18</f>
        <v>5233</v>
      </c>
      <c r="C18" s="1">
        <f>Sheet2!C18</f>
        <v>0.17269999999999999</v>
      </c>
      <c r="D18" s="1">
        <f>Sheet2!G18</f>
        <v>3.8E-3</v>
      </c>
      <c r="E18" s="1">
        <f>Sheet2!E18</f>
        <v>0.54579999999999995</v>
      </c>
      <c r="F18" s="1">
        <f>Sheet2!I18</f>
        <v>0</v>
      </c>
      <c r="G18" s="1">
        <f>Sheet2!K18</f>
        <v>0.27750000000000002</v>
      </c>
      <c r="H18" s="1">
        <f>Sheet2!O18</f>
        <v>0</v>
      </c>
      <c r="I18" s="1">
        <f>Sheet2!M18</f>
        <v>0</v>
      </c>
      <c r="J18" s="1">
        <f>Sheet2!Q18</f>
        <v>2.0000000000000001E-4</v>
      </c>
    </row>
    <row r="19" spans="1:11" x14ac:dyDescent="0.25">
      <c r="A19">
        <v>2017</v>
      </c>
      <c r="B19">
        <f>Sheet2!R19</f>
        <v>5055</v>
      </c>
      <c r="C19" s="1">
        <f>Sheet2!C19</f>
        <v>0.14799999999999999</v>
      </c>
      <c r="D19" s="1">
        <f>Sheet2!G19</f>
        <v>5.4999999999999997E-3</v>
      </c>
      <c r="E19" s="1">
        <f>Sheet2!E19</f>
        <v>0.53290000000000004</v>
      </c>
      <c r="F19" s="1">
        <f>Sheet2!I19</f>
        <v>0</v>
      </c>
      <c r="G19" s="1">
        <f>Sheet2!K19</f>
        <v>0.31340000000000001</v>
      </c>
      <c r="H19" s="1">
        <f>Sheet2!O19</f>
        <v>0</v>
      </c>
      <c r="I19" s="1">
        <f>Sheet2!M19</f>
        <v>2.0000000000000001E-4</v>
      </c>
      <c r="J19" s="1">
        <f>Sheet2!Q19</f>
        <v>0</v>
      </c>
    </row>
    <row r="20" spans="1:11" x14ac:dyDescent="0.25">
      <c r="A20">
        <v>2018</v>
      </c>
      <c r="B20">
        <f>Sheet2!R20</f>
        <v>5147</v>
      </c>
      <c r="C20" s="1">
        <f>Sheet2!C20</f>
        <v>0.13850000000000001</v>
      </c>
      <c r="D20" s="1">
        <f>Sheet2!G20</f>
        <v>9.2999999999999992E-3</v>
      </c>
      <c r="E20" s="1">
        <f>Sheet2!E20</f>
        <v>0.52890000000000004</v>
      </c>
      <c r="F20" s="1">
        <f>Sheet2!I20</f>
        <v>0</v>
      </c>
      <c r="G20" s="1">
        <f>Sheet2!K20</f>
        <v>0.32290000000000002</v>
      </c>
      <c r="H20" s="1">
        <f>Sheet2!O20</f>
        <v>0</v>
      </c>
      <c r="I20" s="1">
        <f>Sheet2!M20</f>
        <v>2.0000000000000001E-4</v>
      </c>
      <c r="J20" s="1">
        <f>Sheet2!Q20</f>
        <v>2.0000000000000001E-4</v>
      </c>
    </row>
    <row r="21" spans="1:11" x14ac:dyDescent="0.25">
      <c r="A21">
        <v>2019</v>
      </c>
      <c r="B21">
        <f>Sheet2!R21</f>
        <v>5470</v>
      </c>
      <c r="C21" s="1">
        <f>Sheet2!C21</f>
        <v>0.1132</v>
      </c>
      <c r="D21" s="1">
        <f>Sheet2!G21</f>
        <v>1.0999999999999999E-2</v>
      </c>
      <c r="E21" s="1">
        <f>Sheet2!E21</f>
        <v>0.51570000000000005</v>
      </c>
      <c r="F21" s="1">
        <f>Sheet2!I21</f>
        <v>0</v>
      </c>
      <c r="G21" s="1">
        <f>Sheet2!K21</f>
        <v>0.36</v>
      </c>
      <c r="H21" s="1">
        <f>Sheet2!O21</f>
        <v>0</v>
      </c>
      <c r="I21" s="1">
        <f>Sheet2!M21</f>
        <v>0</v>
      </c>
      <c r="J21" s="1">
        <f>Sheet2!Q21</f>
        <v>2.0000000000000001E-4</v>
      </c>
    </row>
    <row r="23" spans="1:11" x14ac:dyDescent="0.25">
      <c r="C23" s="6" t="str">
        <f>C1</f>
        <v>SUS</v>
      </c>
      <c r="D23" s="6" t="str">
        <f t="shared" ref="D23:J23" si="0">D1</f>
        <v>CIP</v>
      </c>
      <c r="E23" s="6" t="str">
        <f t="shared" si="0"/>
        <v>TET</v>
      </c>
      <c r="F23" s="6" t="str">
        <f t="shared" si="0"/>
        <v>CFX</v>
      </c>
      <c r="G23" s="6" t="str">
        <f t="shared" si="0"/>
        <v>CIP+TET</v>
      </c>
      <c r="H23" s="6" t="str">
        <f t="shared" si="0"/>
        <v>CIP+CFX</v>
      </c>
      <c r="I23" s="6" t="str">
        <f t="shared" si="0"/>
        <v>TET+CFX</v>
      </c>
      <c r="J23" s="6" t="str">
        <f t="shared" si="0"/>
        <v>CIP+TET+CFX</v>
      </c>
    </row>
    <row r="24" spans="1:11" x14ac:dyDescent="0.25">
      <c r="A24" t="s">
        <v>22</v>
      </c>
      <c r="C24" s="4">
        <f>AVERAGE(C2:C21)</f>
        <v>0.27785499999999996</v>
      </c>
      <c r="D24" s="4">
        <f t="shared" ref="D24:J24" si="1">AVERAGE(D2:D21)</f>
        <v>4.4250000000000001E-3</v>
      </c>
      <c r="E24" s="4">
        <f t="shared" si="1"/>
        <v>0.55976000000000004</v>
      </c>
      <c r="F24" s="4">
        <f t="shared" si="1"/>
        <v>0</v>
      </c>
      <c r="G24" s="4">
        <f t="shared" si="1"/>
        <v>0.15762999999999999</v>
      </c>
      <c r="H24" s="4">
        <f t="shared" si="1"/>
        <v>0</v>
      </c>
      <c r="I24" s="4">
        <f t="shared" si="1"/>
        <v>7.0000000000000007E-5</v>
      </c>
      <c r="J24" s="4">
        <f t="shared" si="1"/>
        <v>2.8499999999999999E-4</v>
      </c>
      <c r="K24" s="1">
        <f>SUM(C24:J24)</f>
        <v>1.0000250000000002</v>
      </c>
    </row>
    <row r="25" spans="1:11" x14ac:dyDescent="0.25">
      <c r="A25" t="s">
        <v>25</v>
      </c>
      <c r="C25" s="5">
        <v>0.2</v>
      </c>
      <c r="D25" s="5">
        <v>0.5</v>
      </c>
      <c r="E25" s="5">
        <v>0.2</v>
      </c>
      <c r="F25" s="5">
        <v>0.5</v>
      </c>
      <c r="G25" s="5">
        <v>0.2</v>
      </c>
      <c r="H25" s="5">
        <v>0.5</v>
      </c>
      <c r="I25" s="5">
        <v>0.5</v>
      </c>
      <c r="J25" s="5">
        <v>0.5</v>
      </c>
      <c r="K25" s="1"/>
    </row>
    <row r="26" spans="1:11" x14ac:dyDescent="0.25">
      <c r="A26" t="s">
        <v>23</v>
      </c>
      <c r="C26" s="4">
        <f>(1-C25)*C24</f>
        <v>0.22228399999999998</v>
      </c>
      <c r="D26" s="4">
        <f t="shared" ref="D26:J26" si="2">(1-D25)*D24</f>
        <v>2.2125000000000001E-3</v>
      </c>
      <c r="E26" s="4">
        <f t="shared" si="2"/>
        <v>0.44780800000000004</v>
      </c>
      <c r="F26" s="4">
        <f t="shared" si="2"/>
        <v>0</v>
      </c>
      <c r="G26" s="4">
        <f t="shared" si="2"/>
        <v>0.12610399999999999</v>
      </c>
      <c r="H26" s="4">
        <f t="shared" si="2"/>
        <v>0</v>
      </c>
      <c r="I26" s="4">
        <f t="shared" si="2"/>
        <v>3.5000000000000004E-5</v>
      </c>
      <c r="J26" s="4">
        <f t="shared" si="2"/>
        <v>1.4249999999999999E-4</v>
      </c>
    </row>
    <row r="27" spans="1:11" x14ac:dyDescent="0.25">
      <c r="A27" t="s">
        <v>24</v>
      </c>
      <c r="C27" s="4">
        <f>(1+C25)*C24</f>
        <v>0.33342599999999994</v>
      </c>
      <c r="D27" s="4">
        <f t="shared" ref="D27:J27" si="3">(1+D25)*D24</f>
        <v>6.6375000000000002E-3</v>
      </c>
      <c r="E27" s="4">
        <f t="shared" si="3"/>
        <v>0.67171199999999998</v>
      </c>
      <c r="F27" s="4">
        <f t="shared" si="3"/>
        <v>0</v>
      </c>
      <c r="G27" s="4">
        <f t="shared" si="3"/>
        <v>0.18915599999999999</v>
      </c>
      <c r="H27" s="4">
        <f t="shared" si="3"/>
        <v>0</v>
      </c>
      <c r="I27" s="4">
        <f t="shared" si="3"/>
        <v>1.05E-4</v>
      </c>
      <c r="J27" s="4">
        <f t="shared" si="3"/>
        <v>4.2749999999999998E-4</v>
      </c>
    </row>
    <row r="28" spans="1:11" x14ac:dyDescent="0.25">
      <c r="D28" t="str">
        <f>"("&amp;TEXT(D26,"#0.000") &amp;", " &amp; TEXT(D27,"#0.000")&amp;")"</f>
        <v>(0.002, 0.007)</v>
      </c>
      <c r="E28" t="str">
        <f t="shared" ref="E28:J28" si="4">"("&amp;TEXT(E26,"#0.000") &amp;", " &amp; TEXT(E27,"#0.000")&amp;")"</f>
        <v>(0.448, 0.672)</v>
      </c>
      <c r="F28" t="str">
        <f t="shared" si="4"/>
        <v>(0.000, 0.000)</v>
      </c>
      <c r="G28" t="str">
        <f t="shared" si="4"/>
        <v>(0.126, 0.189)</v>
      </c>
      <c r="H28" t="str">
        <f t="shared" si="4"/>
        <v>(0.000, 0.000)</v>
      </c>
      <c r="I28" t="str">
        <f t="shared" si="4"/>
        <v>(0.000, 0.000)</v>
      </c>
      <c r="J28" t="str">
        <f t="shared" si="4"/>
        <v>(0.000, 0.000)</v>
      </c>
    </row>
    <row r="29" spans="1:11" s="2" customFormat="1" ht="30.75" customHeight="1" x14ac:dyDescent="0.25">
      <c r="C29" s="2" t="str">
        <f>TEXT(C24*100,"#0.0")&amp;", "&amp;TEXT(C26*100,"#0.0") &amp;", " &amp; TEXT(C27*100,"#0.0")</f>
        <v>27.8, 22.2, 33.3</v>
      </c>
      <c r="D29" s="2" t="str">
        <f t="shared" ref="D29:J29" si="5">TEXT(D24*100,"#0.0")&amp;", "&amp;TEXT(D26*100,"#0.0") &amp;", " &amp; TEXT(D27*100,"#0.0")</f>
        <v>0.4, 0.2, 0.7</v>
      </c>
      <c r="E29" s="2" t="str">
        <f t="shared" si="5"/>
        <v>56.0, 44.8, 67.2</v>
      </c>
      <c r="F29" s="2" t="str">
        <f t="shared" si="5"/>
        <v>0.0, 0.0, 0.0</v>
      </c>
      <c r="G29" s="2" t="str">
        <f t="shared" si="5"/>
        <v>15.8, 12.6, 18.9</v>
      </c>
      <c r="H29" s="2" t="str">
        <f t="shared" si="5"/>
        <v>0.0, 0.0, 0.0</v>
      </c>
      <c r="I29" s="2" t="str">
        <f t="shared" si="5"/>
        <v>0.0, 0.0, 0.0</v>
      </c>
      <c r="J29" s="2" t="str">
        <f t="shared" si="5"/>
        <v>0.0, 0.0, 0.0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8AEC19-49FD-4168-A568-3A0E74E6B3D0}">
  <dimension ref="A1:R21"/>
  <sheetViews>
    <sheetView topLeftCell="L1" workbookViewId="0">
      <selection activeCell="L1" sqref="L1"/>
    </sheetView>
  </sheetViews>
  <sheetFormatPr defaultRowHeight="15" x14ac:dyDescent="0.25"/>
  <sheetData>
    <row r="1" spans="1:18" s="2" customFormat="1" ht="30" x14ac:dyDescent="0.25">
      <c r="A1" s="2" t="s">
        <v>0</v>
      </c>
      <c r="B1" s="3" t="s">
        <v>3</v>
      </c>
      <c r="C1" s="3" t="s">
        <v>9</v>
      </c>
      <c r="D1" s="3" t="s">
        <v>2</v>
      </c>
      <c r="E1" s="3" t="s">
        <v>10</v>
      </c>
      <c r="F1" s="3" t="s">
        <v>1</v>
      </c>
      <c r="G1" s="3" t="s">
        <v>11</v>
      </c>
      <c r="H1" s="3" t="s">
        <v>4</v>
      </c>
      <c r="I1" s="3" t="s">
        <v>12</v>
      </c>
      <c r="J1" s="3" t="s">
        <v>13</v>
      </c>
      <c r="K1" s="3" t="s">
        <v>14</v>
      </c>
      <c r="L1" s="3" t="s">
        <v>15</v>
      </c>
      <c r="M1" s="3" t="s">
        <v>16</v>
      </c>
      <c r="N1" s="3" t="s">
        <v>17</v>
      </c>
      <c r="O1" s="3" t="s">
        <v>18</v>
      </c>
      <c r="P1" s="3" t="s">
        <v>19</v>
      </c>
      <c r="Q1" s="3" t="s">
        <v>20</v>
      </c>
      <c r="R1" s="3" t="s">
        <v>21</v>
      </c>
    </row>
    <row r="2" spans="1:18" x14ac:dyDescent="0.25">
      <c r="A2">
        <v>2000</v>
      </c>
      <c r="B2">
        <v>1240</v>
      </c>
      <c r="C2" s="1">
        <v>0.2271</v>
      </c>
      <c r="D2">
        <v>4115</v>
      </c>
      <c r="E2" s="1">
        <v>0.75380000000000003</v>
      </c>
      <c r="F2">
        <v>2</v>
      </c>
      <c r="G2" s="1">
        <v>4.0000000000000002E-4</v>
      </c>
      <c r="H2">
        <v>0</v>
      </c>
      <c r="I2" s="1">
        <v>0</v>
      </c>
      <c r="J2">
        <v>102</v>
      </c>
      <c r="K2" s="1">
        <v>1.8700000000000001E-2</v>
      </c>
      <c r="L2">
        <v>0</v>
      </c>
      <c r="M2" s="1">
        <v>0</v>
      </c>
      <c r="N2">
        <v>0</v>
      </c>
      <c r="O2" s="1">
        <v>0</v>
      </c>
      <c r="P2">
        <v>0</v>
      </c>
      <c r="Q2" s="1">
        <v>0</v>
      </c>
      <c r="R2">
        <v>5459</v>
      </c>
    </row>
    <row r="3" spans="1:18" x14ac:dyDescent="0.25">
      <c r="A3">
        <v>2001</v>
      </c>
      <c r="B3">
        <v>1569</v>
      </c>
      <c r="C3" s="1">
        <v>0.28699999999999998</v>
      </c>
      <c r="D3">
        <v>3756</v>
      </c>
      <c r="E3" s="1">
        <v>0.68720000000000003</v>
      </c>
      <c r="F3">
        <v>7</v>
      </c>
      <c r="G3" s="1">
        <v>1.2999999999999999E-3</v>
      </c>
      <c r="H3">
        <v>0</v>
      </c>
      <c r="I3" s="1">
        <v>0</v>
      </c>
      <c r="J3">
        <v>130</v>
      </c>
      <c r="K3" s="1">
        <v>2.3800000000000002E-2</v>
      </c>
      <c r="L3">
        <v>1</v>
      </c>
      <c r="M3" s="1">
        <v>2.0000000000000001E-4</v>
      </c>
      <c r="N3">
        <v>0</v>
      </c>
      <c r="O3" s="1">
        <v>0</v>
      </c>
      <c r="P3">
        <v>3</v>
      </c>
      <c r="Q3" s="1">
        <v>5.0000000000000001E-4</v>
      </c>
      <c r="R3">
        <v>5466</v>
      </c>
    </row>
    <row r="4" spans="1:18" x14ac:dyDescent="0.25">
      <c r="A4">
        <v>2002</v>
      </c>
      <c r="B4">
        <v>1705</v>
      </c>
      <c r="C4" s="1">
        <v>0.31929999999999997</v>
      </c>
      <c r="D4">
        <v>3438</v>
      </c>
      <c r="E4" s="1">
        <v>0.64390000000000003</v>
      </c>
      <c r="F4">
        <v>3</v>
      </c>
      <c r="G4" s="1">
        <v>5.9999999999999995E-4</v>
      </c>
      <c r="H4">
        <v>0</v>
      </c>
      <c r="I4" s="1">
        <v>0</v>
      </c>
      <c r="J4">
        <v>193</v>
      </c>
      <c r="K4" s="1">
        <v>3.61E-2</v>
      </c>
      <c r="L4">
        <v>0</v>
      </c>
      <c r="M4" s="1">
        <v>0</v>
      </c>
      <c r="N4">
        <v>0</v>
      </c>
      <c r="O4" s="1">
        <v>0</v>
      </c>
      <c r="P4">
        <v>0</v>
      </c>
      <c r="Q4" s="1">
        <v>0</v>
      </c>
      <c r="R4">
        <v>5339</v>
      </c>
    </row>
    <row r="5" spans="1:18" x14ac:dyDescent="0.25">
      <c r="A5">
        <v>2003</v>
      </c>
      <c r="B5">
        <v>2194</v>
      </c>
      <c r="C5" s="1">
        <v>0.3362</v>
      </c>
      <c r="D5">
        <v>4004</v>
      </c>
      <c r="E5" s="1">
        <v>0.61360000000000003</v>
      </c>
      <c r="F5">
        <v>2</v>
      </c>
      <c r="G5" s="1">
        <v>2.9999999999999997E-4</v>
      </c>
      <c r="H5">
        <v>0</v>
      </c>
      <c r="I5" s="1">
        <v>0</v>
      </c>
      <c r="J5">
        <v>325</v>
      </c>
      <c r="K5" s="1">
        <v>4.9799999999999997E-2</v>
      </c>
      <c r="L5">
        <v>0</v>
      </c>
      <c r="M5" s="1">
        <v>0</v>
      </c>
      <c r="N5">
        <v>0</v>
      </c>
      <c r="O5" s="1">
        <v>0</v>
      </c>
      <c r="P5">
        <v>0</v>
      </c>
      <c r="Q5" s="1">
        <v>0</v>
      </c>
      <c r="R5">
        <v>6525</v>
      </c>
    </row>
    <row r="6" spans="1:18" x14ac:dyDescent="0.25">
      <c r="A6">
        <v>2004</v>
      </c>
      <c r="B6">
        <v>2154</v>
      </c>
      <c r="C6" s="1">
        <v>0.34139999999999998</v>
      </c>
      <c r="D6">
        <v>3676</v>
      </c>
      <c r="E6" s="1">
        <v>0.58260000000000001</v>
      </c>
      <c r="F6">
        <v>10</v>
      </c>
      <c r="G6" s="1">
        <v>1.6000000000000001E-3</v>
      </c>
      <c r="H6">
        <v>0</v>
      </c>
      <c r="I6" s="1">
        <v>0</v>
      </c>
      <c r="J6">
        <v>468</v>
      </c>
      <c r="K6" s="1">
        <v>7.4200000000000002E-2</v>
      </c>
      <c r="L6">
        <v>0</v>
      </c>
      <c r="M6" s="1">
        <v>0</v>
      </c>
      <c r="N6">
        <v>0</v>
      </c>
      <c r="O6" s="1">
        <v>0</v>
      </c>
      <c r="P6">
        <v>2</v>
      </c>
      <c r="Q6" s="1">
        <v>2.9999999999999997E-4</v>
      </c>
      <c r="R6">
        <v>6310</v>
      </c>
    </row>
    <row r="7" spans="1:18" x14ac:dyDescent="0.25">
      <c r="A7">
        <v>2005</v>
      </c>
      <c r="B7">
        <v>1994</v>
      </c>
      <c r="C7" s="1">
        <v>0.32200000000000001</v>
      </c>
      <c r="D7">
        <v>3551</v>
      </c>
      <c r="E7" s="1">
        <v>0.57340000000000002</v>
      </c>
      <c r="F7">
        <v>16</v>
      </c>
      <c r="G7" s="1">
        <v>2.5999999999999999E-3</v>
      </c>
      <c r="H7">
        <v>0</v>
      </c>
      <c r="I7" s="1">
        <v>0</v>
      </c>
      <c r="J7">
        <v>632</v>
      </c>
      <c r="K7" s="1">
        <v>0.1021</v>
      </c>
      <c r="L7">
        <v>0</v>
      </c>
      <c r="M7" s="1">
        <v>0</v>
      </c>
      <c r="N7">
        <v>0</v>
      </c>
      <c r="O7" s="1">
        <v>0</v>
      </c>
      <c r="P7">
        <v>0</v>
      </c>
      <c r="Q7" s="1">
        <v>0</v>
      </c>
      <c r="R7">
        <v>6193</v>
      </c>
    </row>
    <row r="8" spans="1:18" x14ac:dyDescent="0.25">
      <c r="A8">
        <v>2006</v>
      </c>
      <c r="B8">
        <v>1949</v>
      </c>
      <c r="C8" s="1">
        <v>0.32029999999999997</v>
      </c>
      <c r="D8">
        <v>3218</v>
      </c>
      <c r="E8" s="1">
        <v>0.52880000000000005</v>
      </c>
      <c r="F8">
        <v>26</v>
      </c>
      <c r="G8" s="1">
        <v>4.3E-3</v>
      </c>
      <c r="H8">
        <v>0</v>
      </c>
      <c r="I8" s="1">
        <v>0</v>
      </c>
      <c r="J8">
        <v>891</v>
      </c>
      <c r="K8" s="1">
        <v>0.1464</v>
      </c>
      <c r="L8">
        <v>0</v>
      </c>
      <c r="M8" s="1">
        <v>0</v>
      </c>
      <c r="N8">
        <v>0</v>
      </c>
      <c r="O8" s="1">
        <v>0</v>
      </c>
      <c r="P8">
        <v>1</v>
      </c>
      <c r="Q8" s="1">
        <v>2.0000000000000001E-4</v>
      </c>
      <c r="R8">
        <v>6085</v>
      </c>
    </row>
    <row r="9" spans="1:18" x14ac:dyDescent="0.25">
      <c r="A9">
        <v>2007</v>
      </c>
      <c r="B9">
        <v>1993</v>
      </c>
      <c r="C9" s="1">
        <v>0.33179999999999998</v>
      </c>
      <c r="D9">
        <v>3046</v>
      </c>
      <c r="E9" s="1">
        <v>0.5071</v>
      </c>
      <c r="F9">
        <v>38</v>
      </c>
      <c r="G9" s="1">
        <v>6.3E-3</v>
      </c>
      <c r="H9">
        <v>0</v>
      </c>
      <c r="I9" s="1">
        <v>0</v>
      </c>
      <c r="J9">
        <v>930</v>
      </c>
      <c r="K9" s="1">
        <v>0.15479999999999999</v>
      </c>
      <c r="L9">
        <v>0</v>
      </c>
      <c r="M9" s="1">
        <v>0</v>
      </c>
      <c r="N9">
        <v>0</v>
      </c>
      <c r="O9" s="1">
        <v>0</v>
      </c>
      <c r="P9">
        <v>0</v>
      </c>
      <c r="Q9" s="1">
        <v>0</v>
      </c>
      <c r="R9">
        <v>6007</v>
      </c>
    </row>
    <row r="10" spans="1:18" x14ac:dyDescent="0.25">
      <c r="A10">
        <v>2008</v>
      </c>
      <c r="B10">
        <v>2205</v>
      </c>
      <c r="C10" s="1">
        <v>0.38579999999999998</v>
      </c>
      <c r="D10">
        <v>2688</v>
      </c>
      <c r="E10" s="1">
        <v>0.4703</v>
      </c>
      <c r="F10">
        <v>49</v>
      </c>
      <c r="G10" s="1">
        <v>8.6E-3</v>
      </c>
      <c r="H10">
        <v>0</v>
      </c>
      <c r="I10" s="1">
        <v>0</v>
      </c>
      <c r="J10">
        <v>774</v>
      </c>
      <c r="K10" s="1">
        <v>0.13539999999999999</v>
      </c>
      <c r="L10">
        <v>0</v>
      </c>
      <c r="M10" s="1">
        <v>0</v>
      </c>
      <c r="N10">
        <v>0</v>
      </c>
      <c r="O10" s="1">
        <v>0</v>
      </c>
      <c r="P10">
        <v>0</v>
      </c>
      <c r="Q10" s="1">
        <v>0</v>
      </c>
      <c r="R10">
        <v>5716</v>
      </c>
    </row>
    <row r="11" spans="1:18" x14ac:dyDescent="0.25">
      <c r="A11">
        <v>2009</v>
      </c>
      <c r="B11">
        <v>2316</v>
      </c>
      <c r="C11" s="1">
        <v>0.41339999999999999</v>
      </c>
      <c r="D11">
        <v>2713</v>
      </c>
      <c r="E11" s="1">
        <v>0.48430000000000001</v>
      </c>
      <c r="F11">
        <v>22</v>
      </c>
      <c r="G11" s="1">
        <v>3.8999999999999998E-3</v>
      </c>
      <c r="H11">
        <v>0</v>
      </c>
      <c r="I11" s="1">
        <v>0</v>
      </c>
      <c r="J11">
        <v>547</v>
      </c>
      <c r="K11" s="1">
        <v>9.7600000000000006E-2</v>
      </c>
      <c r="L11">
        <v>0</v>
      </c>
      <c r="M11" s="1">
        <v>0</v>
      </c>
      <c r="N11">
        <v>0</v>
      </c>
      <c r="O11" s="1">
        <v>0</v>
      </c>
      <c r="P11">
        <v>4</v>
      </c>
      <c r="Q11" s="1">
        <v>6.9999999999999999E-4</v>
      </c>
      <c r="R11">
        <v>5602</v>
      </c>
    </row>
    <row r="12" spans="1:18" x14ac:dyDescent="0.25">
      <c r="A12">
        <v>2010</v>
      </c>
      <c r="B12">
        <v>1959</v>
      </c>
      <c r="C12" s="1">
        <v>0.3453</v>
      </c>
      <c r="D12">
        <v>2940</v>
      </c>
      <c r="E12" s="1">
        <v>0.51819999999999999</v>
      </c>
      <c r="F12">
        <v>33</v>
      </c>
      <c r="G12" s="1">
        <v>5.7999999999999996E-3</v>
      </c>
      <c r="H12">
        <v>0</v>
      </c>
      <c r="I12" s="1">
        <v>0</v>
      </c>
      <c r="J12">
        <v>733</v>
      </c>
      <c r="K12" s="1">
        <v>0.12920000000000001</v>
      </c>
      <c r="L12">
        <v>0</v>
      </c>
      <c r="M12" s="1">
        <v>0</v>
      </c>
      <c r="N12">
        <v>0</v>
      </c>
      <c r="O12" s="1">
        <v>0</v>
      </c>
      <c r="P12">
        <v>9</v>
      </c>
      <c r="Q12" s="1">
        <v>1.6000000000000001E-3</v>
      </c>
      <c r="R12">
        <v>5674</v>
      </c>
    </row>
    <row r="13" spans="1:18" x14ac:dyDescent="0.25">
      <c r="A13">
        <v>2011</v>
      </c>
      <c r="B13">
        <v>1717</v>
      </c>
      <c r="C13" s="1">
        <v>0.31530000000000002</v>
      </c>
      <c r="D13">
        <v>2903</v>
      </c>
      <c r="E13" s="1">
        <v>0.53310000000000002</v>
      </c>
      <c r="F13">
        <v>25</v>
      </c>
      <c r="G13" s="1">
        <v>4.5999999999999999E-3</v>
      </c>
      <c r="H13">
        <v>0</v>
      </c>
      <c r="I13" s="1">
        <v>0</v>
      </c>
      <c r="J13">
        <v>798</v>
      </c>
      <c r="K13" s="1">
        <v>0.14649999999999999</v>
      </c>
      <c r="L13">
        <v>2</v>
      </c>
      <c r="M13" s="1">
        <v>4.0000000000000002E-4</v>
      </c>
      <c r="N13">
        <v>0</v>
      </c>
      <c r="O13" s="1">
        <v>0</v>
      </c>
      <c r="P13">
        <v>1</v>
      </c>
      <c r="Q13" s="1">
        <v>2.0000000000000001E-4</v>
      </c>
      <c r="R13">
        <v>5446</v>
      </c>
    </row>
    <row r="14" spans="1:18" x14ac:dyDescent="0.25">
      <c r="A14">
        <v>2012</v>
      </c>
      <c r="B14">
        <v>1521</v>
      </c>
      <c r="C14" s="1">
        <v>0.27879999999999999</v>
      </c>
      <c r="D14">
        <v>3018</v>
      </c>
      <c r="E14" s="1">
        <v>0.55330000000000001</v>
      </c>
      <c r="F14">
        <v>37</v>
      </c>
      <c r="G14" s="1">
        <v>6.7999999999999996E-3</v>
      </c>
      <c r="H14">
        <v>0</v>
      </c>
      <c r="I14" s="1">
        <v>0</v>
      </c>
      <c r="J14">
        <v>876</v>
      </c>
      <c r="K14" s="1">
        <v>0.16059999999999999</v>
      </c>
      <c r="L14">
        <v>2</v>
      </c>
      <c r="M14" s="1">
        <v>4.0000000000000002E-4</v>
      </c>
      <c r="N14">
        <v>0</v>
      </c>
      <c r="O14" s="1">
        <v>0</v>
      </c>
      <c r="P14">
        <v>1</v>
      </c>
      <c r="Q14" s="1">
        <v>2.0000000000000001E-4</v>
      </c>
      <c r="R14">
        <v>5455</v>
      </c>
    </row>
    <row r="15" spans="1:18" x14ac:dyDescent="0.25">
      <c r="A15">
        <v>2013</v>
      </c>
      <c r="B15">
        <v>1699</v>
      </c>
      <c r="C15" s="1">
        <v>0.28810000000000002</v>
      </c>
      <c r="D15">
        <v>3164</v>
      </c>
      <c r="E15" s="1">
        <v>0.53649999999999998</v>
      </c>
      <c r="F15">
        <v>16</v>
      </c>
      <c r="G15" s="1">
        <v>2.7000000000000001E-3</v>
      </c>
      <c r="H15">
        <v>0</v>
      </c>
      <c r="I15" s="1">
        <v>0</v>
      </c>
      <c r="J15">
        <v>1019</v>
      </c>
      <c r="K15" s="1">
        <v>0.17280000000000001</v>
      </c>
      <c r="L15">
        <v>0</v>
      </c>
      <c r="M15" s="1">
        <v>0</v>
      </c>
      <c r="N15">
        <v>0</v>
      </c>
      <c r="O15" s="1">
        <v>0</v>
      </c>
      <c r="P15">
        <v>0</v>
      </c>
      <c r="Q15" s="1">
        <v>0</v>
      </c>
      <c r="R15">
        <v>5898</v>
      </c>
    </row>
    <row r="16" spans="1:18" x14ac:dyDescent="0.25">
      <c r="A16">
        <v>2014</v>
      </c>
      <c r="B16">
        <v>1256</v>
      </c>
      <c r="C16" s="1">
        <v>0.24879999999999999</v>
      </c>
      <c r="D16">
        <v>2761</v>
      </c>
      <c r="E16" s="1">
        <v>0.54679999999999995</v>
      </c>
      <c r="F16">
        <v>16</v>
      </c>
      <c r="G16" s="1">
        <v>3.2000000000000002E-3</v>
      </c>
      <c r="H16">
        <v>0</v>
      </c>
      <c r="I16" s="1">
        <v>0</v>
      </c>
      <c r="J16">
        <v>1014</v>
      </c>
      <c r="K16" s="1">
        <v>0.20080000000000001</v>
      </c>
      <c r="L16">
        <v>0</v>
      </c>
      <c r="M16" s="1">
        <v>0</v>
      </c>
      <c r="N16">
        <v>0</v>
      </c>
      <c r="O16" s="1">
        <v>0</v>
      </c>
      <c r="P16">
        <v>2</v>
      </c>
      <c r="Q16" s="1">
        <v>4.0000000000000002E-4</v>
      </c>
      <c r="R16">
        <v>5049</v>
      </c>
    </row>
    <row r="17" spans="1:18" x14ac:dyDescent="0.25">
      <c r="A17">
        <v>2015</v>
      </c>
      <c r="B17">
        <v>1148</v>
      </c>
      <c r="C17" s="1">
        <v>0.22409999999999999</v>
      </c>
      <c r="D17">
        <v>2761</v>
      </c>
      <c r="E17" s="1">
        <v>0.53900000000000003</v>
      </c>
      <c r="F17">
        <v>30</v>
      </c>
      <c r="G17" s="1">
        <v>5.8999999999999999E-3</v>
      </c>
      <c r="H17">
        <v>0</v>
      </c>
      <c r="I17" s="1">
        <v>0</v>
      </c>
      <c r="J17">
        <v>1178</v>
      </c>
      <c r="K17" s="1">
        <v>0.23</v>
      </c>
      <c r="L17">
        <v>0</v>
      </c>
      <c r="M17" s="1">
        <v>0</v>
      </c>
      <c r="N17">
        <v>0</v>
      </c>
      <c r="O17" s="1">
        <v>0</v>
      </c>
      <c r="P17">
        <v>5</v>
      </c>
      <c r="Q17" s="1">
        <v>1E-3</v>
      </c>
      <c r="R17">
        <v>5122</v>
      </c>
    </row>
    <row r="18" spans="1:18" x14ac:dyDescent="0.25">
      <c r="A18">
        <v>2016</v>
      </c>
      <c r="B18">
        <v>904</v>
      </c>
      <c r="C18" s="1">
        <v>0.17269999999999999</v>
      </c>
      <c r="D18">
        <v>2856</v>
      </c>
      <c r="E18" s="1">
        <v>0.54579999999999995</v>
      </c>
      <c r="F18">
        <v>20</v>
      </c>
      <c r="G18" s="1">
        <v>3.8E-3</v>
      </c>
      <c r="H18">
        <v>0</v>
      </c>
      <c r="I18" s="1">
        <v>0</v>
      </c>
      <c r="J18">
        <v>1452</v>
      </c>
      <c r="K18" s="1">
        <v>0.27750000000000002</v>
      </c>
      <c r="L18">
        <v>0</v>
      </c>
      <c r="M18" s="1">
        <v>0</v>
      </c>
      <c r="N18">
        <v>0</v>
      </c>
      <c r="O18" s="1">
        <v>0</v>
      </c>
      <c r="P18">
        <v>1</v>
      </c>
      <c r="Q18" s="1">
        <v>2.0000000000000001E-4</v>
      </c>
      <c r="R18">
        <v>5233</v>
      </c>
    </row>
    <row r="19" spans="1:18" x14ac:dyDescent="0.25">
      <c r="A19">
        <v>2017</v>
      </c>
      <c r="B19">
        <v>748</v>
      </c>
      <c r="C19" s="1">
        <v>0.14799999999999999</v>
      </c>
      <c r="D19">
        <v>2694</v>
      </c>
      <c r="E19" s="1">
        <v>0.53290000000000004</v>
      </c>
      <c r="F19">
        <v>28</v>
      </c>
      <c r="G19" s="1">
        <v>5.4999999999999997E-3</v>
      </c>
      <c r="H19">
        <v>0</v>
      </c>
      <c r="I19" s="1">
        <v>0</v>
      </c>
      <c r="J19">
        <v>1584</v>
      </c>
      <c r="K19" s="1">
        <v>0.31340000000000001</v>
      </c>
      <c r="L19">
        <v>1</v>
      </c>
      <c r="M19" s="1">
        <v>2.0000000000000001E-4</v>
      </c>
      <c r="N19">
        <v>0</v>
      </c>
      <c r="O19" s="1">
        <v>0</v>
      </c>
      <c r="P19">
        <v>0</v>
      </c>
      <c r="Q19" s="1">
        <v>0</v>
      </c>
      <c r="R19">
        <v>5055</v>
      </c>
    </row>
    <row r="20" spans="1:18" x14ac:dyDescent="0.25">
      <c r="A20">
        <v>2018</v>
      </c>
      <c r="B20">
        <v>713</v>
      </c>
      <c r="C20" s="1">
        <v>0.13850000000000001</v>
      </c>
      <c r="D20">
        <v>2722</v>
      </c>
      <c r="E20" s="1">
        <v>0.52890000000000004</v>
      </c>
      <c r="F20">
        <v>48</v>
      </c>
      <c r="G20" s="1">
        <v>9.2999999999999992E-3</v>
      </c>
      <c r="H20">
        <v>0</v>
      </c>
      <c r="I20" s="1">
        <v>0</v>
      </c>
      <c r="J20">
        <v>1662</v>
      </c>
      <c r="K20" s="1">
        <v>0.32290000000000002</v>
      </c>
      <c r="L20">
        <v>1</v>
      </c>
      <c r="M20" s="1">
        <v>2.0000000000000001E-4</v>
      </c>
      <c r="N20">
        <v>0</v>
      </c>
      <c r="O20" s="1">
        <v>0</v>
      </c>
      <c r="P20">
        <v>1</v>
      </c>
      <c r="Q20" s="1">
        <v>2.0000000000000001E-4</v>
      </c>
      <c r="R20">
        <v>5147</v>
      </c>
    </row>
    <row r="21" spans="1:18" x14ac:dyDescent="0.25">
      <c r="A21">
        <v>2019</v>
      </c>
      <c r="B21">
        <v>619</v>
      </c>
      <c r="C21" s="1">
        <v>0.1132</v>
      </c>
      <c r="D21">
        <v>2821</v>
      </c>
      <c r="E21" s="1">
        <v>0.51570000000000005</v>
      </c>
      <c r="F21">
        <v>60</v>
      </c>
      <c r="G21" s="1">
        <v>1.0999999999999999E-2</v>
      </c>
      <c r="H21">
        <v>0</v>
      </c>
      <c r="I21" s="1">
        <v>0</v>
      </c>
      <c r="J21">
        <v>1969</v>
      </c>
      <c r="K21" s="1">
        <v>0.36</v>
      </c>
      <c r="L21">
        <v>0</v>
      </c>
      <c r="M21" s="1">
        <v>0</v>
      </c>
      <c r="N21">
        <v>0</v>
      </c>
      <c r="O21" s="1">
        <v>0</v>
      </c>
      <c r="P21">
        <v>1</v>
      </c>
      <c r="Q21" s="1">
        <v>2.0000000000000001E-4</v>
      </c>
      <c r="R21">
        <v>5470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Yaesoubi, Reza</dc:creator>
  <cp:lastModifiedBy>Yaesoubi, Reza</cp:lastModifiedBy>
  <dcterms:created xsi:type="dcterms:W3CDTF">2022-02-08T19:59:16Z</dcterms:created>
  <dcterms:modified xsi:type="dcterms:W3CDTF">2022-02-11T19:23:16Z</dcterms:modified>
</cp:coreProperties>
</file>